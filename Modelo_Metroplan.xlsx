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.10.1\fileserver\tecnologia\rogerio.piccoli\BOD\Modelos\"/>
    </mc:Choice>
  </mc:AlternateContent>
  <xr:revisionPtr revIDLastSave="0" documentId="13_ncr:1_{AAFED985-417F-48E9-BB5D-7151F115E502}" xr6:coauthVersionLast="47" xr6:coauthVersionMax="47" xr10:uidLastSave="{00000000-0000-0000-0000-000000000000}"/>
  <workbookProtection workbookPassword="D2EF" lockStructure="1"/>
  <bookViews>
    <workbookView xWindow="-120" yWindow="-120" windowWidth="29040" windowHeight="15720" activeTab="1" xr2:uid="{00000000-000D-0000-FFFF-FFFF00000000}"/>
  </bookViews>
  <sheets>
    <sheet name="Identificação da Empresa" sheetId="3" r:id="rId1"/>
    <sheet name="BOD" sheetId="2" r:id="rId2"/>
    <sheet name="Instruções" sheetId="1" r:id="rId3"/>
    <sheet name="Identificação" sheetId="4" state="hidden" r:id="rId4"/>
  </sheets>
  <definedNames>
    <definedName name="_xlnm._FilterDatabase" localSheetId="3" hidden="1">Identificação!$A$1:$A$52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3" l="1"/>
  <c r="D11" i="3" l="1"/>
  <c r="E3" i="4" l="1"/>
  <c r="F11" i="3" l="1"/>
  <c r="E2" i="4" s="1"/>
</calcChain>
</file>

<file path=xl/sharedStrings.xml><?xml version="1.0" encoding="utf-8"?>
<sst xmlns="http://schemas.openxmlformats.org/spreadsheetml/2006/main" count="350" uniqueCount="315">
  <si>
    <t>Ano</t>
  </si>
  <si>
    <t>Código da Empresa</t>
  </si>
  <si>
    <t>Ramal</t>
  </si>
  <si>
    <t>Nome_Linha</t>
  </si>
  <si>
    <t>Servico</t>
  </si>
  <si>
    <t>Sentido</t>
  </si>
  <si>
    <t>Extensao_Classe_A</t>
  </si>
  <si>
    <t>Extensao_Classe_B</t>
  </si>
  <si>
    <t>Tarifa_Maxima_Comum</t>
  </si>
  <si>
    <t>Tarifa_Maxima_Escolar</t>
  </si>
  <si>
    <t>Numero_Linha</t>
  </si>
  <si>
    <t>Codigo_Empresa</t>
  </si>
  <si>
    <t>Extensao_Percorrida_Simples</t>
  </si>
  <si>
    <t>Extensao_Percorrida_Expressa</t>
  </si>
  <si>
    <t>Extensao_Percorrida_Deslocamento</t>
  </si>
  <si>
    <t>Viagens_Realizadas_Simples</t>
  </si>
  <si>
    <t>Viagens_Realizadas_Expressas</t>
  </si>
  <si>
    <t>Viagens_Realizadas_Deslocamentos</t>
  </si>
  <si>
    <t>Pass_Transp_Comum</t>
  </si>
  <si>
    <t>Pass_Transp_Escolar</t>
  </si>
  <si>
    <t>Pass_Transp_Escolar_Passe_Livre</t>
  </si>
  <si>
    <t>Pass_Isentos</t>
  </si>
  <si>
    <t>Pass_Transp_Integr_Rod</t>
  </si>
  <si>
    <t>Pass_Transp_Integ_Fer</t>
  </si>
  <si>
    <t>Receita_Auferida_Comum</t>
  </si>
  <si>
    <t>Receita_Auferida_Escolar</t>
  </si>
  <si>
    <t>Receita_Auferida_Escolar_Passe_Livre</t>
  </si>
  <si>
    <t>Frota_Operante</t>
  </si>
  <si>
    <t>Mes</t>
  </si>
  <si>
    <t>Lotacao_Media</t>
  </si>
  <si>
    <r>
      <rPr>
        <sz val="9"/>
        <rFont val="Times New Roman"/>
        <family val="1"/>
      </rPr>
      <t>Colunas:</t>
    </r>
  </si>
  <si>
    <r>
      <rPr>
        <sz val="9"/>
        <rFont val="Times New Roman"/>
        <family val="1"/>
      </rPr>
      <t>Conceito:</t>
    </r>
  </si>
  <si>
    <r>
      <rPr>
        <sz val="9"/>
        <rFont val="Times New Roman"/>
        <family val="1"/>
      </rPr>
      <t>Ano:</t>
    </r>
  </si>
  <si>
    <r>
      <rPr>
        <sz val="9"/>
        <rFont val="Times New Roman"/>
        <family val="1"/>
      </rPr>
      <t>Numero  Linha:</t>
    </r>
  </si>
  <si>
    <r>
      <rPr>
        <sz val="9"/>
        <rFont val="Times New Roman"/>
        <family val="1"/>
      </rPr>
      <t>Ramal:</t>
    </r>
  </si>
  <si>
    <r>
      <rPr>
        <sz val="9"/>
        <rFont val="Times New Roman"/>
        <family val="1"/>
      </rPr>
      <t xml:space="preserve">1 digito: 1 a 8 — Ramal para horario com itinerario  alterado; 9 </t>
    </r>
    <r>
      <rPr>
        <sz val="9"/>
        <color rgb="FF262626"/>
        <rFont val="Times New Roman"/>
        <family val="1"/>
      </rPr>
      <t xml:space="preserve">— </t>
    </r>
    <r>
      <rPr>
        <sz val="9"/>
        <rFont val="Times New Roman"/>
        <family val="1"/>
      </rPr>
      <t xml:space="preserve">Ramal
</t>
    </r>
    <r>
      <rPr>
        <sz val="9"/>
        <rFont val="Times New Roman"/>
        <family val="1"/>
      </rPr>
      <t>para horario coin itinerario  normal</t>
    </r>
  </si>
  <si>
    <r>
      <rPr>
        <sz val="9"/>
        <rFont val="Times New Roman"/>
        <family val="1"/>
      </rPr>
      <t>Nome Linha:</t>
    </r>
  </si>
  <si>
    <r>
      <rPr>
        <sz val="9"/>
        <rFont val="Times New Roman"/>
        <family val="1"/>
      </rPr>
      <t>Sentido:</t>
    </r>
  </si>
  <si>
    <r>
      <rPr>
        <sz val="10"/>
        <rFont val="Times New Roman"/>
        <family val="1"/>
      </rPr>
      <t>Extensao Classe A:</t>
    </r>
  </si>
  <si>
    <r>
      <rPr>
        <sz val="10"/>
        <rFont val="Times New Roman"/>
        <family val="1"/>
      </rPr>
      <t>Extensao Classe B:</t>
    </r>
  </si>
  <si>
    <r>
      <rPr>
        <sz val="9.5"/>
        <rFont val="Times New Roman"/>
        <family val="1"/>
      </rPr>
      <t>Tarifa Maxima Escolar:</t>
    </r>
  </si>
  <si>
    <r>
      <rPr>
        <sz val="9.5"/>
        <rFont val="Times New Roman"/>
        <family val="1"/>
      </rPr>
      <t>90% da Tarifa Maxima Consum</t>
    </r>
  </si>
  <si>
    <r>
      <rPr>
        <sz val="9.5"/>
        <rFont val="Times New Roman"/>
        <family val="1"/>
      </rPr>
      <t>Viagens Realizadas Simples:</t>
    </r>
  </si>
  <si>
    <r>
      <rPr>
        <sz val="10"/>
        <rFont val="Times New Roman"/>
        <family val="1"/>
      </rPr>
      <t>Viagens Realizadas Expressas:</t>
    </r>
  </si>
  <si>
    <r>
      <rPr>
        <sz val="9.5"/>
        <rFont val="Times New Roman"/>
        <family val="1"/>
      </rPr>
      <t>Pass Transp Comum:</t>
    </r>
  </si>
  <si>
    <r>
      <rPr>
        <sz val="9.5"/>
        <rFont val="Times New Roman"/>
        <family val="1"/>
      </rPr>
      <t>Pass Transp Escolar:</t>
    </r>
  </si>
  <si>
    <r>
      <rPr>
        <sz val="9.5"/>
        <rFont val="Times New Roman"/>
        <family val="1"/>
      </rPr>
      <t>Pass Transp Escolar Passe Livre:</t>
    </r>
  </si>
  <si>
    <r>
      <rPr>
        <sz val="10"/>
        <rFont val="Times New Roman"/>
        <family val="1"/>
      </rPr>
      <t>Pass Isentos:</t>
    </r>
  </si>
  <si>
    <t>Preenchimento:</t>
  </si>
  <si>
    <t>Ano da apuração da informação</t>
  </si>
  <si>
    <t>Número com quatro dígitos</t>
  </si>
  <si>
    <t>Mês da apuração da informação</t>
  </si>
  <si>
    <t>Meses de 1-9 um dígito, de 10 a 12 dois dígitos</t>
  </si>
  <si>
    <t>Código de identificação da empresa definido pela Metroplan</t>
  </si>
  <si>
    <t>4 caracteres - duas letras e dois números</t>
  </si>
  <si>
    <t>Número da Linha constante no Cadastro da Metroplan</t>
  </si>
  <si>
    <r>
      <rPr>
        <sz val="9"/>
        <rFont val="Times New Roman"/>
        <family val="1"/>
      </rPr>
      <t>Até 5 caracteres;  4 obrigatórios; Layout:  LNNN ;LNNNL ;LLNN;</t>
    </r>
    <r>
      <rPr>
        <sz val="9"/>
        <color rgb="FF181818"/>
        <rFont val="Times New Roman"/>
        <family val="1"/>
      </rPr>
      <t xml:space="preserve">
</t>
    </r>
    <r>
      <rPr>
        <u/>
        <sz val="9"/>
        <rFont val="Times New Roman"/>
        <family val="1"/>
      </rPr>
      <t>LLNNN;</t>
    </r>
    <r>
      <rPr>
        <sz val="9"/>
        <rFont val="Times New Roman"/>
        <family val="1"/>
      </rPr>
      <t xml:space="preserve"> </t>
    </r>
    <r>
      <rPr>
        <u/>
        <sz val="9"/>
        <rFont val="Times New Roman"/>
        <family val="1"/>
      </rPr>
      <t>LLNNL</t>
    </r>
  </si>
  <si>
    <t>Identifica o nome da linha</t>
  </si>
  <si>
    <t>Nome da Linha, adota-se o nome pelo qual os usuários conhecem a linha ou as localidades atendidas.</t>
  </si>
  <si>
    <t>Identifica o tipo de serviço, de acordo com o tipo de veículo e viagem</t>
  </si>
  <si>
    <r>
      <t xml:space="preserve">Sentido </t>
    </r>
    <r>
      <rPr>
        <sz val="9"/>
        <color rgb="FF0A0A0A"/>
        <rFont val="Times New Roman"/>
        <family val="1"/>
      </rPr>
      <t xml:space="preserve">de </t>
    </r>
    <r>
      <rPr>
        <sz val="9"/>
        <rFont val="Times New Roman"/>
        <family val="1"/>
      </rPr>
      <t>deslocamento da viagem</t>
    </r>
  </si>
  <si>
    <t>Serviço:</t>
  </si>
  <si>
    <t>Alteração  de itinerário  em horario especifico</t>
  </si>
  <si>
    <r>
      <t xml:space="preserve">Distância  entre </t>
    </r>
    <r>
      <rPr>
        <sz val="9"/>
        <color rgb="FF111111"/>
        <rFont val="Times New Roman"/>
        <family val="1"/>
      </rPr>
      <t xml:space="preserve">o </t>
    </r>
    <r>
      <rPr>
        <sz val="9"/>
        <rFont val="Times New Roman"/>
        <family val="1"/>
      </rPr>
      <t xml:space="preserve">terminal inicial e </t>
    </r>
    <r>
      <rPr>
        <sz val="9"/>
        <color rgb="FF0C0C0C"/>
        <rFont val="Times New Roman"/>
        <family val="1"/>
      </rPr>
      <t xml:space="preserve">o </t>
    </r>
    <r>
      <rPr>
        <sz val="9"/>
        <rFont val="Times New Roman"/>
        <family val="1"/>
      </rPr>
      <t>terminal  final em via pavimentada.  Ex.: asfalto, bloquete, pedra regular e pedra irregular.</t>
    </r>
  </si>
  <si>
    <r>
      <rPr>
        <sz val="9.5"/>
        <rFont val="Times New Roman"/>
        <family val="1"/>
      </rPr>
      <t xml:space="preserve">Distância entre o terminal inicial e o terminal final </t>
    </r>
    <r>
      <rPr>
        <sz val="10"/>
        <rFont val="Times New Roman"/>
        <family val="1"/>
      </rPr>
      <t>em</t>
    </r>
    <r>
      <rPr>
        <vertAlign val="subscript"/>
        <sz val="10"/>
        <rFont val="Times New Roman"/>
        <family val="1"/>
      </rPr>
      <t xml:space="preserve">
</t>
    </r>
    <r>
      <rPr>
        <sz val="9.5"/>
        <rFont val="Times New Roman"/>
        <family val="1"/>
      </rPr>
      <t>via não pavimentada.  Ex.: chão batido.</t>
    </r>
  </si>
  <si>
    <t>Distância em quilômetros, com 3 casas decimais, separadas  por vírgula.</t>
  </si>
  <si>
    <t>Distância em quilômetros,  com 3 casas decimais, separadas  por vírgula.</t>
  </si>
  <si>
    <t>Tarifa Máxima  Comum:</t>
  </si>
  <si>
    <r>
      <rPr>
        <sz val="10"/>
        <rFont val="Times New Roman"/>
        <family val="1"/>
      </rPr>
      <t xml:space="preserve">Tarifa referente ao deslocamento entre a primeira e a
</t>
    </r>
    <r>
      <rPr>
        <sz val="9.5"/>
        <rFont val="Times New Roman"/>
        <family val="1"/>
      </rPr>
      <t>última seção tarifária da linha</t>
    </r>
  </si>
  <si>
    <t>Valor em reais com 2 casas decimais, separadas por vírgula e sem
simbolo (R$).</t>
  </si>
  <si>
    <t>Lotação  Média:</t>
  </si>
  <si>
    <t>Média ponderada de assentos por viagem da linha</t>
  </si>
  <si>
    <t>Número com 2 casas decimais, separadas por vírgula</t>
  </si>
  <si>
    <t>Extensão  Percorrida Simples:</t>
  </si>
  <si>
    <t>Total da extensão percorrida pelas Viagens Realizadas Expressas da linha.</t>
  </si>
  <si>
    <t>Número inteiro (sem casas decimais) com ponto separador de milhar (1.000).</t>
  </si>
  <si>
    <t>Total da extensão percorrida pelas Viagens Realizadas Simples da linha.</t>
  </si>
  <si>
    <t>Extensão  Percorrida Expressa:</t>
  </si>
  <si>
    <t>Extensão Percorrida Deslocamento:</t>
  </si>
  <si>
    <t>Total da extensão percorrida pelas Viagens Realizadas Deslocamentos  da linha.</t>
  </si>
  <si>
    <t>Somatório  das viagens realizadas na linha, com atendimento de usuários (embarque e desembarque de
passageiros).</t>
  </si>
  <si>
    <t>Somatório das viagens entre terminais para
aproveitamento do veículo em Viagem Realizada Simples.</t>
  </si>
  <si>
    <t>Viagens Realizadas Deslocamento:</t>
  </si>
  <si>
    <t>Somatório  das viagens entre garagem e terminal e
outras necessárias antes do embarque de passageiros, exceto viagens expressas.</t>
  </si>
  <si>
    <r>
      <rPr>
        <sz val="9.5"/>
        <rFont val="Times New Roman"/>
        <family val="1"/>
      </rPr>
      <t xml:space="preserve">Quantidade de passageiros comuns transportados na
</t>
    </r>
    <r>
      <rPr>
        <sz val="9"/>
        <rFont val="Times New Roman"/>
        <family val="1"/>
      </rPr>
      <t>linha.</t>
    </r>
  </si>
  <si>
    <r>
      <rPr>
        <sz val="10"/>
        <rFont val="Times New Roman"/>
        <family val="1"/>
      </rPr>
      <t xml:space="preserve">Quantidade de passageiros escolares  transportados  na
</t>
    </r>
    <r>
      <rPr>
        <sz val="9.5"/>
        <rFont val="Times New Roman"/>
        <family val="1"/>
      </rPr>
      <t>linha.</t>
    </r>
  </si>
  <si>
    <r>
      <rPr>
        <sz val="10"/>
        <rFont val="Times New Roman"/>
        <family val="1"/>
      </rPr>
      <t xml:space="preserve">Quantidade de passageiros que utilizam o Programa
</t>
    </r>
    <r>
      <rPr>
        <sz val="9.5"/>
        <rFont val="Times New Roman"/>
        <family val="1"/>
      </rPr>
      <t>Passe Livre Estudantil transportados na linha</t>
    </r>
  </si>
  <si>
    <t>Quantidade de passageiros isentos transportados na linha.</t>
  </si>
  <si>
    <t>Pass Transp Integr Rod:</t>
  </si>
  <si>
    <t>Quantidade  de passageiros integrados com sistema rodoviário; Nao incluir nas categorias anteriores, para evitar dupla contagem.</t>
  </si>
  <si>
    <t>Pass Transp Integr Fer:</t>
  </si>
  <si>
    <t>Quantidade  de passageiros integrados com sistema ferroviário; Nao incluir nas categorias anteriores, para evitar dupla contagem.</t>
  </si>
  <si>
    <t>Receita Auferida Comum</t>
  </si>
  <si>
    <t>Receita Auferida Escolar</t>
  </si>
  <si>
    <t>Receita Auferida Passe Livre</t>
  </si>
  <si>
    <t>Frota Operante</t>
  </si>
  <si>
    <t>Valor da Receita Auferida com passageiros comuns e integrados.</t>
  </si>
  <si>
    <t>Valor da Receita Auferida com passageiros escolares.</t>
  </si>
  <si>
    <t>Valor da Receita Auferida com passageiros que utilizam o Programa Passe Livre Estudantil.</t>
  </si>
  <si>
    <t>Total de Veículos utilizados para operação da linha.</t>
  </si>
  <si>
    <r>
      <rPr>
        <sz val="10"/>
        <rFont val="Times New Roman"/>
        <family val="1"/>
      </rPr>
      <t xml:space="preserve">Valor etc reais com 2 casas decimais, separadas por virgula </t>
    </r>
    <r>
      <rPr>
        <sz val="10"/>
        <color rgb="FF1A1A1A"/>
        <rFont val="Times New Roman"/>
        <family val="1"/>
      </rPr>
      <t xml:space="preserve">e </t>
    </r>
    <r>
      <rPr>
        <sz val="10"/>
        <rFont val="Times New Roman"/>
        <family val="1"/>
      </rPr>
      <t xml:space="preserve">sem
</t>
    </r>
    <r>
      <rPr>
        <sz val="9.5"/>
        <rFont val="Times New Roman"/>
        <family val="1"/>
      </rPr>
      <t>simbolo (R$).</t>
    </r>
  </si>
  <si>
    <t>Número inteiro(sem casas decimais).</t>
  </si>
  <si>
    <t>Preencha as Colunas, conforme as instruções relacionadas no quadro abaixo:</t>
  </si>
  <si>
    <t>Mês:</t>
  </si>
  <si>
    <t>Razão Social da Empresa</t>
  </si>
  <si>
    <t>CNPJ</t>
  </si>
  <si>
    <t>Nome Simplificado da Empresa</t>
  </si>
  <si>
    <t>ACORDO OPERACIONAL CANOAS CACHOEIRINHA</t>
  </si>
  <si>
    <t>CC88</t>
  </si>
  <si>
    <t>BENTO GONCALVES</t>
  </si>
  <si>
    <t>BG13</t>
  </si>
  <si>
    <t>BOSEMBECKER</t>
  </si>
  <si>
    <t>BS01</t>
  </si>
  <si>
    <t>CAIENSE EMPRESA DE ONIBUS LTDA</t>
  </si>
  <si>
    <t>CAIENSE</t>
  </si>
  <si>
    <t>CA02</t>
  </si>
  <si>
    <t>CATSUL GUAIBA TRANSPORTES HIDROVIARIOS LTDA</t>
  </si>
  <si>
    <t>CATSUL</t>
  </si>
  <si>
    <t>CS22</t>
  </si>
  <si>
    <t>EXPRESSO CAXIENSE S.A.</t>
  </si>
  <si>
    <t>CAXIENSE</t>
  </si>
  <si>
    <t>CX15</t>
  </si>
  <si>
    <t>CENTRAL S/A - TRANSPORTE RODOVIARIOS E TURISMO</t>
  </si>
  <si>
    <t>CENTRAL</t>
  </si>
  <si>
    <t>CE72</t>
  </si>
  <si>
    <t>CITRAL TRANSPORTES E TURISMO S.A.</t>
  </si>
  <si>
    <t>CITRAL</t>
  </si>
  <si>
    <t>CT95</t>
  </si>
  <si>
    <t>CITRAL LITORAL</t>
  </si>
  <si>
    <t>CT96</t>
  </si>
  <si>
    <t>CONSORCIO METROPOLITANO DE TRANSPORTES</t>
  </si>
  <si>
    <t>CMT</t>
  </si>
  <si>
    <t>TM12</t>
  </si>
  <si>
    <t>DANYTUR VIAGENS E TURISMO LTDA.</t>
  </si>
  <si>
    <t>DANYTUR</t>
  </si>
  <si>
    <t>DN11</t>
  </si>
  <si>
    <t>EXPRESSO EMBAIXADOR</t>
  </si>
  <si>
    <t>EMBAIXADOR</t>
  </si>
  <si>
    <t>EB78</t>
  </si>
  <si>
    <t>ESTANCIA VELHA</t>
  </si>
  <si>
    <t>EV77</t>
  </si>
  <si>
    <t>EXPRESSO VERANEIO LTDA.</t>
  </si>
  <si>
    <t>EVEL</t>
  </si>
  <si>
    <t>VE92</t>
  </si>
  <si>
    <t>FATIMA TRANSPORTES E TURISMO LTDA</t>
  </si>
  <si>
    <t>FATIMA</t>
  </si>
  <si>
    <t>FA61</t>
  </si>
  <si>
    <t>FEITORIA</t>
  </si>
  <si>
    <t>FE75</t>
  </si>
  <si>
    <t>GUAIBA</t>
  </si>
  <si>
    <t>GU99</t>
  </si>
  <si>
    <t>TRANSPORTE COLETIVO ITAPUA LTDA</t>
  </si>
  <si>
    <t>ITAPUA</t>
  </si>
  <si>
    <t>IT11</t>
  </si>
  <si>
    <t>TRANSPORTES LILICO LTDA</t>
  </si>
  <si>
    <t>LILICO</t>
  </si>
  <si>
    <t>LL77</t>
  </si>
  <si>
    <t>LOUZADA</t>
  </si>
  <si>
    <t>LZ79</t>
  </si>
  <si>
    <t>EMPRESA DE TRANSPORTE COLETIVO MONTE BELO LTDA</t>
  </si>
  <si>
    <t>MONTE BELO</t>
  </si>
  <si>
    <t>MB 14</t>
  </si>
  <si>
    <t>MONTENEGRO</t>
  </si>
  <si>
    <t>MN60</t>
  </si>
  <si>
    <t>OZELAME</t>
  </si>
  <si>
    <t>OZ18</t>
  </si>
  <si>
    <t>EXPRESSO PALMARES TURISMO LTDA</t>
  </si>
  <si>
    <t>PALMARES</t>
  </si>
  <si>
    <t>PM93</t>
  </si>
  <si>
    <t>REAL RODOVIAS DE TRANSPORTES COLETIVOS S.A.</t>
  </si>
  <si>
    <t>REAL</t>
  </si>
  <si>
    <t>RE71</t>
  </si>
  <si>
    <t>SANTA SILVANA</t>
  </si>
  <si>
    <t>SSO2</t>
  </si>
  <si>
    <t>TRANSPORTE COLETIVO SANTO ANTONIO LTDA</t>
  </si>
  <si>
    <t>SANTO ANTONIO</t>
  </si>
  <si>
    <t>SA12</t>
  </si>
  <si>
    <t>EXPRESSO SAO JOSE LTDA</t>
  </si>
  <si>
    <t>SAO JOSE</t>
  </si>
  <si>
    <t>SJ90</t>
  </si>
  <si>
    <t>EXPRESSO SAO MARCOS LTDA</t>
  </si>
  <si>
    <t>SAO MARCOS</t>
  </si>
  <si>
    <t>SM17</t>
  </si>
  <si>
    <t>SAO MARCOS LITORAL</t>
  </si>
  <si>
    <t>SM18</t>
  </si>
  <si>
    <t>AUTO VIACAO SERRA MAR LTDA</t>
  </si>
  <si>
    <t>SERRA MAR</t>
  </si>
  <si>
    <t>CP36</t>
  </si>
  <si>
    <t>SINOSCAP</t>
  </si>
  <si>
    <t>SI74</t>
  </si>
  <si>
    <t>SOCALTUR</t>
  </si>
  <si>
    <t>SC80</t>
  </si>
  <si>
    <t>SOGAL</t>
  </si>
  <si>
    <t>GA73</t>
  </si>
  <si>
    <t>SOGIL</t>
  </si>
  <si>
    <t>SG94</t>
  </si>
  <si>
    <t>SOUL</t>
  </si>
  <si>
    <t>SU93</t>
  </si>
  <si>
    <t>ACORDO OPERACIONAL EXP. GUAIBA / SOUL</t>
  </si>
  <si>
    <t>TM5</t>
  </si>
  <si>
    <t>GS05</t>
  </si>
  <si>
    <t>TORRESCAR TRANSPORTES E TURISMO LTDA</t>
  </si>
  <si>
    <t>TORRESCAR</t>
  </si>
  <si>
    <t>TO34</t>
  </si>
  <si>
    <t>TORRESCAR / CAPAO</t>
  </si>
  <si>
    <t>TO36</t>
  </si>
  <si>
    <t>TRANSCAL SUL TRANSPORTES COLETIVOS LTDA</t>
  </si>
  <si>
    <t>TRANSCAL-SUL</t>
  </si>
  <si>
    <t>TC24</t>
  </si>
  <si>
    <t>TRANSNORTE TRANSPORTES AQUAVIARIOS LTDA</t>
  </si>
  <si>
    <t>TRANSNORTE</t>
  </si>
  <si>
    <t>TNO1</t>
  </si>
  <si>
    <t>UNESUL DE TRANSPORTE LTDA</t>
  </si>
  <si>
    <t>UNESUL</t>
  </si>
  <si>
    <t>UN10</t>
  </si>
  <si>
    <t>UNESUL LITORAL</t>
  </si>
  <si>
    <t>UN11</t>
  </si>
  <si>
    <t>VAP</t>
  </si>
  <si>
    <t>VP41</t>
  </si>
  <si>
    <t>VIAMAO</t>
  </si>
  <si>
    <t>VI90</t>
  </si>
  <si>
    <t>CONSORCIO DE TRANSPORTES NOVA SANTA RITA</t>
  </si>
  <si>
    <t>VIANOVA</t>
  </si>
  <si>
    <t>SR31</t>
  </si>
  <si>
    <t>VICASA</t>
  </si>
  <si>
    <t>CN70</t>
  </si>
  <si>
    <t>EXPRESSO VITORIA DE TRANSPORTE LTDA</t>
  </si>
  <si>
    <t>VITORIA</t>
  </si>
  <si>
    <t>VT62</t>
  </si>
  <si>
    <t>EMPRESA WENDLING DE TRANSPORTES COLETIVOS LTDA</t>
  </si>
  <si>
    <t>WENDLING</t>
  </si>
  <si>
    <t>WD81</t>
  </si>
  <si>
    <t>EMPRESA BENTO GONCALVES DE TRANSPORTES LTDA</t>
  </si>
  <si>
    <t>EMPRESA DE TRANSPORTES BOSEMBECKER LTDA</t>
  </si>
  <si>
    <t>VIACAO FEITORIA LTDA</t>
  </si>
  <si>
    <t>EXPRESSO RIO GUAIBA LTDA</t>
  </si>
  <si>
    <t>EMPRESA LOUZADA DE TRANSPORTES LTDA</t>
  </si>
  <si>
    <t>OZELAME TRANSPORTES E TURISMO LTDA</t>
  </si>
  <si>
    <t>VIACAO MONTENEGRO S.A.</t>
  </si>
  <si>
    <t>EMPRESA DE TRANSPORTE SANTA SILVANA LTDA</t>
  </si>
  <si>
    <t>VIACAO SINOSCAP LTDA</t>
  </si>
  <si>
    <t>SOCIEDADE DE ONIBUS CAPIVARENSE LTDA</t>
  </si>
  <si>
    <t>SOCIEDADE DE ONIBUS GAUCHA LTDA</t>
  </si>
  <si>
    <t>SOCIEDADE DE ONIBUS GIGANTE LTDA</t>
  </si>
  <si>
    <t>SOCIEDADE DE ONIBUS UNIAO LTDA</t>
  </si>
  <si>
    <t>EMPRESA DE TRANSPORTE COLETIVO VIAMAO LTDA</t>
  </si>
  <si>
    <t>CITRAL TRANSPORTES E TURISMO S.A. (Litoral)</t>
  </si>
  <si>
    <t>EXPRESSO SAO MARCOS LTDA (Litoral)</t>
  </si>
  <si>
    <t>TORRESCAR TRANSPORTES E TURISMO LTDA (Capão)</t>
  </si>
  <si>
    <t>UNESUL DE TRANSPORTE LTDA (Litoral)</t>
  </si>
  <si>
    <t>Não se aplica</t>
  </si>
  <si>
    <t>87.381.257/0001-19</t>
  </si>
  <si>
    <t>Mês</t>
  </si>
  <si>
    <t>Boletim de Oferta e Demanda</t>
  </si>
  <si>
    <t>Sistemas</t>
  </si>
  <si>
    <t>AULINOR</t>
  </si>
  <si>
    <t>RMPA</t>
  </si>
  <si>
    <t>RMSG</t>
  </si>
  <si>
    <t>AUSUL</t>
  </si>
  <si>
    <t>Identificação da Empresa Regulada</t>
  </si>
  <si>
    <t>Código</t>
  </si>
  <si>
    <r>
      <rPr>
        <sz val="9"/>
        <rFont val="Times New Roman"/>
        <family val="1"/>
      </rPr>
      <t xml:space="preserve">C — Comum; S </t>
    </r>
    <r>
      <rPr>
        <sz val="9"/>
        <color rgb="FF1C1C1C"/>
        <rFont val="Times New Roman"/>
        <family val="1"/>
      </rPr>
      <t xml:space="preserve">— </t>
    </r>
    <r>
      <rPr>
        <sz val="9"/>
        <rFont val="Times New Roman"/>
        <family val="1"/>
      </rPr>
      <t xml:space="preserve">SemiDireto D </t>
    </r>
    <r>
      <rPr>
        <sz val="9"/>
        <color rgb="FF282828"/>
        <rFont val="Times New Roman"/>
        <family val="1"/>
      </rPr>
      <t xml:space="preserve">— </t>
    </r>
    <r>
      <rPr>
        <sz val="9"/>
        <rFont val="Times New Roman"/>
        <family val="1"/>
      </rPr>
      <t xml:space="preserve">Direto; E </t>
    </r>
    <r>
      <rPr>
        <sz val="9"/>
        <color rgb="FF0A0A0A"/>
        <rFont val="Times New Roman"/>
        <family val="1"/>
      </rPr>
      <t xml:space="preserve">— </t>
    </r>
    <r>
      <rPr>
        <sz val="9"/>
        <rFont val="Times New Roman"/>
        <family val="1"/>
      </rPr>
      <t xml:space="preserve">Executivo; L—  Seletivo; R
-Rota; T- Integração  com  Trem; O- Integração  com ônibus; </t>
    </r>
    <r>
      <rPr>
        <sz val="9"/>
        <color rgb="FF282828"/>
        <rFont val="Times New Roman"/>
        <family val="1"/>
      </rPr>
      <t xml:space="preserve">A </t>
    </r>
    <r>
      <rPr>
        <sz val="9"/>
        <rFont val="Times New Roman"/>
        <family val="1"/>
      </rPr>
      <t>- Alimentadora</t>
    </r>
  </si>
  <si>
    <t>1 número: 1- Partida do município de menor população; 2- Partida do Município de Maior População</t>
  </si>
  <si>
    <t>C</t>
  </si>
  <si>
    <t>S</t>
  </si>
  <si>
    <t>D</t>
  </si>
  <si>
    <t>L</t>
  </si>
  <si>
    <t>R</t>
  </si>
  <si>
    <t>T</t>
  </si>
  <si>
    <t>O</t>
  </si>
  <si>
    <t>A</t>
  </si>
  <si>
    <t>87.548.848/0001-38</t>
  </si>
  <si>
    <t>93.841.161/0001-99</t>
  </si>
  <si>
    <t>97.192.264/0001-26</t>
  </si>
  <si>
    <t>12.998.170/0001-96</t>
  </si>
  <si>
    <t>88.617.733/0001-10</t>
  </si>
  <si>
    <t>96.735.758/0001-47</t>
  </si>
  <si>
    <t>97.755.607/0001-13</t>
  </si>
  <si>
    <t>00.379.170/0001-29</t>
  </si>
  <si>
    <t>91.459.453/0001-36</t>
  </si>
  <si>
    <t>92.189.612/0001-92</t>
  </si>
  <si>
    <t>98.744.212/0001-88</t>
  </si>
  <si>
    <t>97.834.709/0001-24</t>
  </si>
  <si>
    <t>88.154.612/0001-80</t>
  </si>
  <si>
    <t>90.348.517/0001-69</t>
  </si>
  <si>
    <t>92.808.427/0001-39</t>
  </si>
  <si>
    <t>88.363.007/0001-19</t>
  </si>
  <si>
    <t>87.548.442/0001-55</t>
  </si>
  <si>
    <t>87.548.889/0001-24</t>
  </si>
  <si>
    <t>92.769.470/0001-32</t>
  </si>
  <si>
    <t>89.738.421/0001-28</t>
  </si>
  <si>
    <t>88.465.737/0001-20</t>
  </si>
  <si>
    <t>90.147.174/0001-74</t>
  </si>
  <si>
    <t>91.873.372/0001-88</t>
  </si>
  <si>
    <t>88.628.417/0001-44</t>
  </si>
  <si>
    <t>03.204.901/0001-93</t>
  </si>
  <si>
    <t>87.233.441/0001-11</t>
  </si>
  <si>
    <t>89.717.409/0001-37</t>
  </si>
  <si>
    <t>90.291.436/0001-70</t>
  </si>
  <si>
    <t>98.750.359/0001-80</t>
  </si>
  <si>
    <t>87.672.044/0001-46</t>
  </si>
  <si>
    <t>92.667.948/0001-13</t>
  </si>
  <si>
    <t>92.783.679/0001-50</t>
  </si>
  <si>
    <t>98.748.809/0001-09</t>
  </si>
  <si>
    <t>06.030.098/0001-06</t>
  </si>
  <si>
    <t>88.302.328/0001-03</t>
  </si>
  <si>
    <t>96.662.614/0001-08</t>
  </si>
  <si>
    <t>89.238.117/0001-11</t>
  </si>
  <si>
    <t>91.359.281/0001-29</t>
  </si>
  <si>
    <t>VIAÇÃO ALTO PETROPOLIS LTDA</t>
  </si>
  <si>
    <t>VIAÇÃO CANOENSE S.A.</t>
  </si>
  <si>
    <t>Não se Aplica</t>
  </si>
  <si>
    <t>TRANSFLOR</t>
  </si>
  <si>
    <t>TF96</t>
  </si>
  <si>
    <t>92.074.780/0001-32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</si>
</sst>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#,##0.000;\-#,##0.000"/>
    <numFmt numFmtId="166" formatCode="_-* #,##0_-;\-* #,##0_-;_-* \-??_-;_-@_-"/>
  </numFmts>
  <fonts count="21" x14ac:knownFonts="1">
    <font>
      <sz val="11"/>
      <color theme="1"/>
      <name val="Calibri"/>
      <family val="2"/>
      <scheme val="minor"/>
    </font>
    <font>
      <sz val="9"/>
      <name val="Times New Roman"/>
      <family val="1"/>
    </font>
    <font>
      <sz val="10"/>
      <name val="Times New Roman"/>
      <family val="1"/>
    </font>
    <font>
      <sz val="9"/>
      <color rgb="FF0A0A0A"/>
      <name val="Times New Roman"/>
      <family val="1"/>
    </font>
    <font>
      <sz val="9"/>
      <color rgb="FF1C1C1C"/>
      <name val="Times New Roman"/>
      <family val="1"/>
    </font>
    <font>
      <sz val="9"/>
      <color rgb="FF181818"/>
      <name val="Times New Roman"/>
      <family val="1"/>
    </font>
    <font>
      <u/>
      <sz val="9"/>
      <name val="Times New Roman"/>
      <family val="1"/>
    </font>
    <font>
      <sz val="9"/>
      <color rgb="FF262626"/>
      <name val="Times New Roman"/>
      <family val="1"/>
    </font>
    <font>
      <sz val="9"/>
      <color rgb="FF282828"/>
      <name val="Times New Roman"/>
      <family val="1"/>
    </font>
    <font>
      <sz val="9"/>
      <color rgb="FF111111"/>
      <name val="Times New Roman"/>
      <family val="1"/>
    </font>
    <font>
      <sz val="9"/>
      <color rgb="FF0C0C0C"/>
      <name val="Times New Roman"/>
      <family val="1"/>
    </font>
    <font>
      <sz val="9.5"/>
      <name val="Times New Roman"/>
      <family val="1"/>
    </font>
    <font>
      <vertAlign val="subscript"/>
      <sz val="10"/>
      <name val="Times New Roman"/>
      <family val="1"/>
    </font>
    <font>
      <sz val="10"/>
      <color rgb="FF1A1A1A"/>
      <name val="Times New Roman"/>
      <family val="1"/>
    </font>
    <font>
      <sz val="9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36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43" fontId="17" fillId="0" borderId="0" applyFont="0" applyFill="0" applyBorder="0" applyAlignment="0" applyProtection="0"/>
  </cellStyleXfs>
  <cellXfs count="4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15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 indent="1"/>
    </xf>
    <xf numFmtId="0" fontId="11" fillId="0" borderId="1" xfId="0" applyFont="1" applyBorder="1" applyAlignment="1">
      <alignment horizontal="left" vertical="top" wrapText="1" indent="1"/>
    </xf>
    <xf numFmtId="0" fontId="1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 indent="2"/>
    </xf>
    <xf numFmtId="0" fontId="18" fillId="0" borderId="0" xfId="0" applyFont="1"/>
    <xf numFmtId="0" fontId="0" fillId="0" borderId="0" xfId="0" applyAlignment="1">
      <alignment horizontal="left"/>
    </xf>
    <xf numFmtId="0" fontId="19" fillId="0" borderId="0" xfId="0" applyFont="1"/>
    <xf numFmtId="0" fontId="20" fillId="0" borderId="0" xfId="0" applyFont="1"/>
    <xf numFmtId="0" fontId="18" fillId="3" borderId="11" xfId="0" applyFont="1" applyFill="1" applyBorder="1" applyAlignment="1">
      <alignment vertical="top" wrapText="1"/>
    </xf>
    <xf numFmtId="0" fontId="18" fillId="4" borderId="11" xfId="0" applyFont="1" applyFill="1" applyBorder="1" applyAlignment="1">
      <alignment vertical="top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Protection="1">
      <protection locked="0"/>
    </xf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3" fontId="0" fillId="0" borderId="0" xfId="0" applyNumberFormat="1" applyProtection="1">
      <protection locked="0"/>
    </xf>
    <xf numFmtId="3" fontId="0" fillId="0" borderId="0" xfId="1" applyNumberFormat="1" applyFont="1" applyProtection="1">
      <protection locked="0"/>
    </xf>
    <xf numFmtId="1" fontId="0" fillId="2" borderId="2" xfId="0" applyNumberFormat="1" applyFill="1" applyBorder="1" applyAlignment="1">
      <alignment horizontal="center" vertical="center" wrapText="1"/>
    </xf>
    <xf numFmtId="1" fontId="0" fillId="2" borderId="3" xfId="0" applyNumberForma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164" fontId="0" fillId="2" borderId="3" xfId="0" applyNumberFormat="1" applyFill="1" applyBorder="1" applyAlignment="1">
      <alignment horizontal="center" vertical="center" wrapText="1"/>
    </xf>
    <xf numFmtId="2" fontId="0" fillId="2" borderId="3" xfId="0" applyNumberFormat="1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 wrapText="1"/>
    </xf>
    <xf numFmtId="3" fontId="0" fillId="2" borderId="3" xfId="1" applyNumberFormat="1" applyFont="1" applyFill="1" applyBorder="1" applyAlignment="1">
      <alignment horizontal="center" vertical="center" wrapText="1"/>
    </xf>
    <xf numFmtId="1" fontId="0" fillId="2" borderId="4" xfId="0" applyNumberFormat="1" applyFill="1" applyBorder="1" applyAlignment="1">
      <alignment horizontal="center" vertical="center" wrapText="1"/>
    </xf>
    <xf numFmtId="165" fontId="0" fillId="0" borderId="0" xfId="0" applyNumberFormat="1" applyProtection="1">
      <protection locked="0"/>
    </xf>
    <xf numFmtId="39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66" fontId="0" fillId="0" borderId="0" xfId="1" applyNumberFormat="1" applyFont="1" applyProtection="1">
      <protection locked="0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201295</xdr:colOff>
      <xdr:row>2</xdr:row>
      <xdr:rowOff>190500</xdr:rowOff>
    </xdr:from>
    <xdr:to>
      <xdr:col>2</xdr:col>
      <xdr:colOff>1201420</xdr:colOff>
      <xdr:row>3</xdr:row>
      <xdr:rowOff>0</xdr:rowOff>
    </xdr:to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525395" y="1990725"/>
          <a:ext cx="2676525" cy="0"/>
        </a:xfrm>
        <a:custGeom>
          <a:avLst/>
          <a:gdLst/>
          <a:ahLst/>
          <a:cxnLst/>
          <a:rect l="0" t="0" r="0" b="0"/>
          <a:pathLst>
            <a:path w="2676525">
              <a:moveTo>
                <a:pt x="0" y="0"/>
              </a:moveTo>
              <a:lnTo>
                <a:pt x="2676144" y="0"/>
              </a:lnTo>
            </a:path>
          </a:pathLst>
        </a:custGeom>
        <a:ln w="3175">
          <a:solidFill>
            <a:srgbClr val="1F1C1F"/>
          </a:solidFill>
        </a:ln>
      </xdr:spPr>
    </xdr:sp>
    <xdr:clientData/>
  </xdr:twoCellAnchor>
  <xdr:twoCellAnchor editAs="oneCell">
    <xdr:from>
      <xdr:col>3</xdr:col>
      <xdr:colOff>54864</xdr:colOff>
      <xdr:row>2</xdr:row>
      <xdr:rowOff>187451</xdr:rowOff>
    </xdr:from>
    <xdr:to>
      <xdr:col>3</xdr:col>
      <xdr:colOff>593344</xdr:colOff>
      <xdr:row>2</xdr:row>
      <xdr:rowOff>187451</xdr:rowOff>
    </xdr:to>
    <xdr:sp macro="" textlink="">
      <xdr:nvSpPr>
        <xdr:cNvPr id="3" name="Shape 5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436489" y="1987676"/>
          <a:ext cx="3624580" cy="0"/>
        </a:xfrm>
        <a:custGeom>
          <a:avLst/>
          <a:gdLst/>
          <a:ahLst/>
          <a:cxnLst/>
          <a:rect l="0" t="0" r="0" b="0"/>
          <a:pathLst>
            <a:path w="3624579">
              <a:moveTo>
                <a:pt x="0" y="0"/>
              </a:moveTo>
              <a:lnTo>
                <a:pt x="3624072" y="0"/>
              </a:lnTo>
            </a:path>
          </a:pathLst>
        </a:custGeom>
        <a:ln w="3175">
          <a:solidFill>
            <a:srgbClr val="181818"/>
          </a:solidFill>
        </a:ln>
      </xdr:spPr>
    </xdr:sp>
    <xdr:clientData/>
  </xdr:twoCellAnchor>
  <xdr:twoCellAnchor editAs="oneCell">
    <xdr:from>
      <xdr:col>3</xdr:col>
      <xdr:colOff>627888</xdr:colOff>
      <xdr:row>4</xdr:row>
      <xdr:rowOff>175260</xdr:rowOff>
    </xdr:from>
    <xdr:to>
      <xdr:col>3</xdr:col>
      <xdr:colOff>629793</xdr:colOff>
      <xdr:row>4</xdr:row>
      <xdr:rowOff>175260</xdr:rowOff>
    </xdr:to>
    <xdr:sp macro="" textlink="">
      <xdr:nvSpPr>
        <xdr:cNvPr id="5" name="Shape 7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009513" y="2366010"/>
          <a:ext cx="3088005" cy="0"/>
        </a:xfrm>
        <a:custGeom>
          <a:avLst/>
          <a:gdLst/>
          <a:ahLst/>
          <a:cxnLst/>
          <a:rect l="0" t="0" r="0" b="0"/>
          <a:pathLst>
            <a:path w="3088005">
              <a:moveTo>
                <a:pt x="0" y="0"/>
              </a:moveTo>
              <a:lnTo>
                <a:pt x="3087624" y="0"/>
              </a:lnTo>
            </a:path>
          </a:pathLst>
        </a:custGeom>
        <a:ln w="9144">
          <a:solidFill>
            <a:srgbClr val="0C0C0F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H12"/>
  <sheetViews>
    <sheetView topLeftCell="C1" workbookViewId="0">
      <selection activeCell="F18" sqref="F18"/>
    </sheetView>
  </sheetViews>
  <sheetFormatPr defaultRowHeight="15" x14ac:dyDescent="0.25"/>
  <cols>
    <col min="3" max="3" width="46.28515625" customWidth="1"/>
    <col min="4" max="4" width="28.85546875" customWidth="1"/>
    <col min="5" max="5" width="46.5703125" customWidth="1"/>
    <col min="6" max="6" width="18" bestFit="1" customWidth="1"/>
    <col min="7" max="7" width="17.85546875" bestFit="1" customWidth="1"/>
    <col min="8" max="8" width="12.85546875" bestFit="1" customWidth="1"/>
  </cols>
  <sheetData>
    <row r="3" spans="3:8" ht="46.5" x14ac:dyDescent="0.7">
      <c r="D3" s="16" t="s">
        <v>253</v>
      </c>
    </row>
    <row r="8" spans="3:8" ht="28.5" x14ac:dyDescent="0.45">
      <c r="D8" s="17" t="s">
        <v>259</v>
      </c>
    </row>
    <row r="9" spans="3:8" ht="15.75" thickBot="1" x14ac:dyDescent="0.3"/>
    <row r="10" spans="3:8" x14ac:dyDescent="0.25">
      <c r="C10" s="20" t="s">
        <v>104</v>
      </c>
      <c r="D10" s="21" t="s">
        <v>105</v>
      </c>
      <c r="E10" s="21" t="s">
        <v>106</v>
      </c>
      <c r="F10" s="21" t="s">
        <v>1</v>
      </c>
      <c r="G10" s="21" t="s">
        <v>252</v>
      </c>
      <c r="H10" s="22" t="s">
        <v>0</v>
      </c>
    </row>
    <row r="11" spans="3:8" ht="15.75" thickBot="1" x14ac:dyDescent="0.3">
      <c r="C11" s="23" t="s">
        <v>235</v>
      </c>
      <c r="D11" s="24" t="str">
        <f>VLOOKUP(C11,Identificação!A1:D52,4,FALSE)</f>
        <v>90.348.517/0001-69</v>
      </c>
      <c r="E11" s="24" t="str">
        <f>VLOOKUP(C11,Identificação!A1:B52,1,FALSE)</f>
        <v>EXPRESSO RIO GUAIBA LTDA</v>
      </c>
      <c r="F11" s="24" t="str">
        <f>VLOOKUP(E11,Identificação!A:C,3,FALSE)</f>
        <v>GU99</v>
      </c>
      <c r="G11" s="24">
        <v>6</v>
      </c>
      <c r="H11" s="25">
        <v>2023</v>
      </c>
    </row>
    <row r="12" spans="3:8" x14ac:dyDescent="0.25">
      <c r="C12" s="26"/>
      <c r="D12" s="26"/>
      <c r="E12" s="26"/>
      <c r="F12" s="26"/>
      <c r="G12" s="26"/>
      <c r="H12" s="26"/>
    </row>
  </sheetData>
  <sheetProtection formatCells="0" formatColumns="0" formatRows="0" insertColumns="0" insertRows="0" insertHyperlinks="0" deleteColumns="0" deleteRows="0" sort="0" autoFilter="0" pivotTables="0"/>
  <pageMargins left="0.511811024" right="0.511811024" top="0.78740157499999996" bottom="0.78740157499999996" header="0.31496062000000002" footer="0.31496062000000002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Identificação!$A$3:$A$52</xm:f>
          </x14:formula1>
          <xm:sqref>C11</xm:sqref>
        </x14:dataValidation>
        <x14:dataValidation type="list" allowBlank="1" showInputMessage="1" showErrorMessage="1" xr:uid="{00000000-0002-0000-0000-000001000000}">
          <x14:formula1>
            <xm:f>Identificação!$G$3:$G$14</xm:f>
          </x14:formula1>
          <xm:sqref>G11</xm:sqref>
        </x14:dataValidation>
        <x14:dataValidation type="list" allowBlank="1" showInputMessage="1" showErrorMessage="1" xr:uid="{00000000-0002-0000-0000-000002000000}">
          <x14:formula1>
            <xm:f>Identificação!$H$3:$H$18</xm:f>
          </x14:formula1>
          <xm:sqref>H11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84"/>
  <sheetViews>
    <sheetView tabSelected="1" topLeftCell="G1" zoomScale="90" zoomScaleNormal="90" workbookViewId="0">
      <selection activeCell="Q6" sqref="Q6"/>
    </sheetView>
  </sheetViews>
  <sheetFormatPr defaultRowHeight="15" x14ac:dyDescent="0.25"/>
  <cols>
    <col min="1" max="1" width="5.5703125" style="27" bestFit="1" customWidth="1"/>
    <col min="2" max="2" width="4.7109375" style="27" bestFit="1" customWidth="1"/>
    <col min="3" max="4" width="11.42578125" style="28" customWidth="1"/>
    <col min="5" max="5" width="6.42578125" style="27" bestFit="1" customWidth="1"/>
    <col min="6" max="6" width="61.28515625" style="28" bestFit="1" customWidth="1"/>
    <col min="7" max="7" width="7.42578125" style="28" bestFit="1" customWidth="1"/>
    <col min="8" max="8" width="7.85546875" style="27" bestFit="1" customWidth="1"/>
    <col min="9" max="9" width="9.5703125" style="29" customWidth="1"/>
    <col min="10" max="10" width="10.42578125" style="29" customWidth="1"/>
    <col min="11" max="13" width="11.42578125" style="30" customWidth="1"/>
    <col min="14" max="14" width="10.7109375" style="31" customWidth="1"/>
    <col min="15" max="16" width="10.5703125" style="31" customWidth="1"/>
    <col min="17" max="17" width="12" style="32" customWidth="1"/>
    <col min="18" max="18" width="11" style="32" customWidth="1"/>
    <col min="19" max="19" width="12.140625" style="32" customWidth="1"/>
    <col min="20" max="22" width="11.42578125" style="32" customWidth="1"/>
    <col min="23" max="23" width="12.140625" style="32" customWidth="1"/>
    <col min="24" max="25" width="11.42578125" style="32" customWidth="1"/>
    <col min="26" max="26" width="12.5703125" style="30" customWidth="1"/>
    <col min="27" max="27" width="12.85546875" style="30" customWidth="1"/>
    <col min="28" max="28" width="12.7109375" style="30" customWidth="1"/>
    <col min="29" max="29" width="14.85546875" style="27" customWidth="1"/>
    <col min="30" max="16384" width="9.140625" style="28"/>
  </cols>
  <sheetData>
    <row r="1" spans="1:29" customFormat="1" ht="65.25" customHeight="1" thickBot="1" x14ac:dyDescent="0.3">
      <c r="A1" s="33" t="s">
        <v>0</v>
      </c>
      <c r="B1" s="34" t="s">
        <v>28</v>
      </c>
      <c r="C1" s="35" t="s">
        <v>11</v>
      </c>
      <c r="D1" s="35" t="s">
        <v>10</v>
      </c>
      <c r="E1" s="34" t="s">
        <v>2</v>
      </c>
      <c r="F1" s="35" t="s">
        <v>3</v>
      </c>
      <c r="G1" s="35" t="s">
        <v>4</v>
      </c>
      <c r="H1" s="34" t="s">
        <v>5</v>
      </c>
      <c r="I1" s="36" t="s">
        <v>6</v>
      </c>
      <c r="J1" s="36" t="s">
        <v>7</v>
      </c>
      <c r="K1" s="37" t="s">
        <v>8</v>
      </c>
      <c r="L1" s="37" t="s">
        <v>9</v>
      </c>
      <c r="M1" s="37" t="s">
        <v>29</v>
      </c>
      <c r="N1" s="38" t="s">
        <v>12</v>
      </c>
      <c r="O1" s="38" t="s">
        <v>13</v>
      </c>
      <c r="P1" s="38" t="s">
        <v>14</v>
      </c>
      <c r="Q1" s="39" t="s">
        <v>15</v>
      </c>
      <c r="R1" s="39" t="s">
        <v>16</v>
      </c>
      <c r="S1" s="39" t="s">
        <v>17</v>
      </c>
      <c r="T1" s="39" t="s">
        <v>18</v>
      </c>
      <c r="U1" s="39" t="s">
        <v>19</v>
      </c>
      <c r="V1" s="39" t="s">
        <v>20</v>
      </c>
      <c r="W1" s="39" t="s">
        <v>21</v>
      </c>
      <c r="X1" s="39" t="s">
        <v>22</v>
      </c>
      <c r="Y1" s="39" t="s">
        <v>23</v>
      </c>
      <c r="Z1" s="37" t="s">
        <v>24</v>
      </c>
      <c r="AA1" s="37" t="s">
        <v>25</v>
      </c>
      <c r="AB1" s="37" t="s">
        <v>26</v>
      </c>
      <c r="AC1" s="40" t="s">
        <v>27</v>
      </c>
    </row>
    <row r="2" spans="1:29" x14ac:dyDescent="0.25">
      <c r="A2" s="28"/>
      <c r="B2" s="31"/>
      <c r="E2" s="28"/>
      <c r="H2" s="28"/>
      <c r="I2" s="41"/>
      <c r="J2" s="41"/>
      <c r="K2" s="42"/>
      <c r="L2" s="42"/>
      <c r="N2" s="43"/>
      <c r="O2" s="43"/>
      <c r="P2" s="43"/>
      <c r="Q2" s="44"/>
      <c r="R2" s="44"/>
      <c r="S2" s="44"/>
      <c r="T2" s="44"/>
      <c r="U2" s="44"/>
      <c r="V2" s="44"/>
      <c r="W2" s="44"/>
      <c r="X2" s="44"/>
      <c r="Y2" s="44"/>
      <c r="AB2" s="42"/>
    </row>
    <row r="3" spans="1:29" x14ac:dyDescent="0.25">
      <c r="A3" s="28"/>
      <c r="B3" s="31"/>
      <c r="E3" s="28"/>
      <c r="H3" s="28"/>
      <c r="I3" s="41"/>
      <c r="J3" s="41"/>
      <c r="K3" s="42"/>
      <c r="L3" s="42"/>
      <c r="N3" s="43"/>
      <c r="O3" s="43"/>
      <c r="P3" s="43"/>
      <c r="Q3" s="44"/>
      <c r="R3" s="44"/>
      <c r="S3" s="44"/>
      <c r="T3" s="44"/>
      <c r="U3" s="44"/>
      <c r="V3" s="44"/>
      <c r="W3" s="44"/>
      <c r="X3" s="44"/>
      <c r="Y3" s="44"/>
      <c r="AB3" s="42"/>
    </row>
    <row r="4" spans="1:29" x14ac:dyDescent="0.25">
      <c r="A4" s="28"/>
      <c r="B4" s="31"/>
      <c r="E4" s="28"/>
      <c r="H4" s="28"/>
      <c r="I4" s="41"/>
      <c r="J4" s="41"/>
      <c r="K4" s="42"/>
      <c r="L4" s="42"/>
      <c r="N4" s="43"/>
      <c r="O4" s="43"/>
      <c r="P4" s="43"/>
      <c r="Q4" s="44"/>
      <c r="R4" s="44"/>
      <c r="S4" s="44"/>
      <c r="T4" s="44"/>
      <c r="U4" s="44"/>
      <c r="V4" s="44"/>
      <c r="W4" s="44"/>
      <c r="X4" s="44"/>
      <c r="Y4" s="44"/>
      <c r="AB4" s="42"/>
    </row>
    <row r="5" spans="1:29" x14ac:dyDescent="0.25">
      <c r="A5" s="28"/>
      <c r="B5" s="31"/>
      <c r="E5" s="28"/>
      <c r="H5" s="28"/>
      <c r="I5" s="41"/>
      <c r="J5" s="41"/>
      <c r="K5" s="42"/>
      <c r="L5" s="42"/>
      <c r="N5" s="43"/>
      <c r="O5" s="43"/>
      <c r="P5" s="43"/>
      <c r="Q5" s="44"/>
      <c r="R5" s="44"/>
      <c r="S5" s="44"/>
      <c r="T5" s="44"/>
      <c r="U5" s="44"/>
      <c r="V5" s="44"/>
      <c r="W5" s="44"/>
      <c r="X5" s="44"/>
      <c r="Y5" s="44"/>
      <c r="AB5" s="42"/>
    </row>
    <row r="6" spans="1:29" x14ac:dyDescent="0.25">
      <c r="A6" s="28"/>
      <c r="B6" s="31"/>
      <c r="E6" s="28"/>
      <c r="H6" s="28"/>
      <c r="I6" s="41"/>
      <c r="J6" s="41"/>
      <c r="K6" s="42"/>
      <c r="L6" s="42"/>
      <c r="N6" s="43"/>
      <c r="O6" s="43"/>
      <c r="P6" s="43"/>
      <c r="Q6" s="44"/>
      <c r="R6" s="44"/>
      <c r="S6" s="44"/>
      <c r="T6" s="44"/>
      <c r="U6" s="44"/>
      <c r="V6" s="44"/>
      <c r="W6" s="44"/>
      <c r="X6" s="44"/>
      <c r="Y6" s="44"/>
      <c r="AB6" s="42"/>
    </row>
    <row r="7" spans="1:29" x14ac:dyDescent="0.25">
      <c r="A7" s="28"/>
      <c r="B7" s="31"/>
      <c r="E7" s="28"/>
      <c r="H7" s="28"/>
      <c r="I7" s="41"/>
      <c r="J7" s="41"/>
      <c r="K7" s="42"/>
      <c r="L7" s="42"/>
      <c r="N7" s="43"/>
      <c r="O7" s="43"/>
      <c r="P7" s="43"/>
      <c r="Q7" s="44"/>
      <c r="R7" s="44"/>
      <c r="S7" s="44"/>
      <c r="T7" s="44"/>
      <c r="U7" s="44"/>
      <c r="V7" s="44"/>
      <c r="W7" s="44"/>
      <c r="X7" s="44"/>
      <c r="Y7" s="44"/>
      <c r="AB7" s="42"/>
    </row>
    <row r="8" spans="1:29" x14ac:dyDescent="0.25">
      <c r="A8" s="28"/>
      <c r="B8" s="31"/>
      <c r="E8" s="28"/>
      <c r="H8" s="28"/>
      <c r="I8" s="41"/>
      <c r="J8" s="41"/>
      <c r="K8" s="42"/>
      <c r="L8" s="42"/>
      <c r="N8" s="43"/>
      <c r="O8" s="43"/>
      <c r="P8" s="43"/>
      <c r="Q8" s="44"/>
      <c r="R8" s="44"/>
      <c r="S8" s="44"/>
      <c r="T8" s="44"/>
      <c r="U8" s="44"/>
      <c r="V8" s="44"/>
      <c r="W8" s="44"/>
      <c r="X8" s="44"/>
      <c r="Y8" s="44"/>
      <c r="AB8" s="42"/>
    </row>
    <row r="9" spans="1:29" x14ac:dyDescent="0.25">
      <c r="A9" s="28"/>
      <c r="B9" s="31"/>
      <c r="E9" s="28"/>
      <c r="H9" s="28"/>
      <c r="I9" s="41"/>
      <c r="J9" s="41"/>
      <c r="K9" s="42"/>
      <c r="L9" s="42"/>
      <c r="N9" s="43"/>
      <c r="O9" s="43"/>
      <c r="P9" s="43"/>
      <c r="Q9" s="44"/>
      <c r="R9" s="44"/>
      <c r="S9" s="44"/>
      <c r="T9" s="44"/>
      <c r="U9" s="44"/>
      <c r="V9" s="44"/>
      <c r="W9" s="44"/>
      <c r="X9" s="44"/>
      <c r="Y9" s="44"/>
      <c r="AB9" s="42"/>
    </row>
    <row r="10" spans="1:29" x14ac:dyDescent="0.25">
      <c r="A10" s="28"/>
      <c r="B10" s="31"/>
      <c r="E10" s="28"/>
      <c r="H10" s="28"/>
      <c r="I10" s="41"/>
      <c r="J10" s="41"/>
      <c r="K10" s="42"/>
      <c r="L10" s="42"/>
      <c r="N10" s="43"/>
      <c r="O10" s="43"/>
      <c r="P10" s="43"/>
      <c r="Q10" s="44"/>
      <c r="R10" s="44"/>
      <c r="S10" s="44"/>
      <c r="T10" s="44"/>
      <c r="U10" s="44"/>
      <c r="V10" s="44"/>
      <c r="W10" s="44"/>
      <c r="X10" s="44"/>
      <c r="Y10" s="44"/>
      <c r="AB10" s="42"/>
    </row>
    <row r="11" spans="1:29" x14ac:dyDescent="0.25">
      <c r="A11" s="28"/>
      <c r="B11" s="31"/>
      <c r="E11" s="28"/>
      <c r="H11" s="28"/>
      <c r="I11" s="41"/>
      <c r="J11" s="41"/>
      <c r="K11" s="42"/>
      <c r="L11" s="42"/>
      <c r="N11" s="43"/>
      <c r="O11" s="43"/>
      <c r="P11" s="43"/>
      <c r="Q11" s="44"/>
      <c r="R11" s="44"/>
      <c r="S11" s="44"/>
      <c r="T11" s="44"/>
      <c r="U11" s="44"/>
      <c r="V11" s="44"/>
      <c r="W11" s="44"/>
      <c r="X11" s="44"/>
      <c r="Y11" s="44"/>
      <c r="AB11" s="42"/>
    </row>
    <row r="12" spans="1:29" x14ac:dyDescent="0.25">
      <c r="A12" s="28"/>
      <c r="B12" s="31"/>
      <c r="E12" s="28"/>
      <c r="H12" s="28"/>
      <c r="I12" s="41"/>
      <c r="J12" s="41"/>
      <c r="K12" s="42"/>
      <c r="L12" s="42"/>
      <c r="N12" s="43"/>
      <c r="O12" s="43"/>
      <c r="P12" s="43"/>
      <c r="Q12" s="44"/>
      <c r="R12" s="44"/>
      <c r="S12" s="44"/>
      <c r="T12" s="44"/>
      <c r="U12" s="44"/>
      <c r="V12" s="44"/>
      <c r="W12" s="44"/>
      <c r="X12" s="44"/>
      <c r="Y12" s="44"/>
      <c r="AB12" s="42"/>
    </row>
    <row r="13" spans="1:29" x14ac:dyDescent="0.25">
      <c r="A13" s="28"/>
      <c r="B13" s="31"/>
      <c r="E13" s="28"/>
      <c r="H13" s="28"/>
      <c r="I13" s="41"/>
      <c r="J13" s="41"/>
      <c r="K13" s="42"/>
      <c r="L13" s="42"/>
      <c r="N13" s="43"/>
      <c r="O13" s="43"/>
      <c r="P13" s="43"/>
      <c r="Q13" s="44"/>
      <c r="R13" s="44"/>
      <c r="S13" s="44"/>
      <c r="T13" s="44"/>
      <c r="U13" s="44"/>
      <c r="V13" s="44"/>
      <c r="W13" s="44"/>
      <c r="X13" s="44"/>
      <c r="Y13" s="44"/>
      <c r="AB13" s="42"/>
    </row>
    <row r="14" spans="1:29" x14ac:dyDescent="0.25">
      <c r="A14" s="28"/>
      <c r="B14" s="31"/>
      <c r="E14" s="28"/>
      <c r="H14" s="28"/>
      <c r="I14" s="41"/>
      <c r="J14" s="41"/>
      <c r="K14" s="42"/>
      <c r="L14" s="42"/>
      <c r="N14" s="43"/>
      <c r="O14" s="43"/>
      <c r="P14" s="43"/>
      <c r="Q14" s="44"/>
      <c r="R14" s="44"/>
      <c r="S14" s="44"/>
      <c r="T14" s="44"/>
      <c r="U14" s="44"/>
      <c r="V14" s="44"/>
      <c r="W14" s="44"/>
      <c r="X14" s="44"/>
      <c r="Y14" s="44"/>
      <c r="AB14" s="42"/>
    </row>
    <row r="15" spans="1:29" x14ac:dyDescent="0.25">
      <c r="A15" s="28"/>
      <c r="B15" s="31"/>
      <c r="E15" s="28"/>
      <c r="H15" s="28"/>
      <c r="I15" s="41"/>
      <c r="J15" s="41"/>
      <c r="K15" s="42"/>
      <c r="L15" s="42"/>
      <c r="N15" s="43"/>
      <c r="O15" s="43"/>
      <c r="P15" s="43"/>
      <c r="Q15" s="44"/>
      <c r="R15" s="44"/>
      <c r="S15" s="44"/>
      <c r="T15" s="44"/>
      <c r="U15" s="44"/>
      <c r="V15" s="44"/>
      <c r="W15" s="44"/>
      <c r="X15" s="44"/>
      <c r="Y15" s="44"/>
      <c r="AB15" s="42"/>
    </row>
    <row r="16" spans="1:29" x14ac:dyDescent="0.25">
      <c r="A16" s="28"/>
      <c r="B16" s="31"/>
      <c r="E16" s="28"/>
      <c r="H16" s="28"/>
      <c r="I16" s="41"/>
      <c r="J16" s="41"/>
      <c r="K16" s="42"/>
      <c r="L16" s="42"/>
      <c r="N16" s="43"/>
      <c r="O16" s="43"/>
      <c r="P16" s="43"/>
      <c r="Q16" s="44"/>
      <c r="R16" s="44"/>
      <c r="S16" s="44"/>
      <c r="T16" s="44"/>
      <c r="U16" s="44"/>
      <c r="V16" s="44"/>
      <c r="W16" s="44"/>
      <c r="X16" s="44"/>
      <c r="Y16" s="44"/>
      <c r="AB16" s="42"/>
    </row>
    <row r="17" spans="1:28" x14ac:dyDescent="0.25">
      <c r="A17" s="28"/>
      <c r="B17" s="31"/>
      <c r="E17" s="28"/>
      <c r="H17" s="28"/>
      <c r="I17" s="41"/>
      <c r="J17" s="41"/>
      <c r="K17" s="42"/>
      <c r="L17" s="42"/>
      <c r="N17" s="43"/>
      <c r="O17" s="43"/>
      <c r="P17" s="43"/>
      <c r="Q17" s="44"/>
      <c r="R17" s="44"/>
      <c r="S17" s="44"/>
      <c r="T17" s="44"/>
      <c r="U17" s="44"/>
      <c r="V17" s="44"/>
      <c r="W17" s="44"/>
      <c r="X17" s="44"/>
      <c r="Y17" s="44"/>
      <c r="AB17" s="42"/>
    </row>
    <row r="18" spans="1:28" x14ac:dyDescent="0.25">
      <c r="A18" s="28"/>
      <c r="B18" s="31"/>
      <c r="E18" s="28"/>
      <c r="H18" s="28"/>
      <c r="I18" s="41"/>
      <c r="J18" s="41"/>
      <c r="K18" s="42"/>
      <c r="L18" s="42"/>
      <c r="N18" s="43"/>
      <c r="O18" s="43"/>
      <c r="P18" s="43"/>
      <c r="Q18" s="44"/>
      <c r="R18" s="44"/>
      <c r="S18" s="44"/>
      <c r="T18" s="44"/>
      <c r="U18" s="44"/>
      <c r="V18" s="44"/>
      <c r="W18" s="44"/>
      <c r="X18" s="44"/>
      <c r="Y18" s="44"/>
      <c r="AB18" s="42"/>
    </row>
    <row r="19" spans="1:28" x14ac:dyDescent="0.25">
      <c r="A19" s="28"/>
      <c r="B19" s="31"/>
      <c r="E19" s="28"/>
      <c r="H19" s="28"/>
      <c r="I19" s="41"/>
      <c r="J19" s="41"/>
      <c r="K19" s="42"/>
      <c r="L19" s="42"/>
      <c r="N19" s="43"/>
      <c r="O19" s="43"/>
      <c r="P19" s="43"/>
      <c r="Q19" s="44"/>
      <c r="R19" s="44"/>
      <c r="S19" s="44"/>
      <c r="T19" s="44"/>
      <c r="U19" s="44"/>
      <c r="V19" s="44"/>
      <c r="W19" s="44"/>
      <c r="X19" s="44"/>
      <c r="Y19" s="44"/>
      <c r="AB19" s="42"/>
    </row>
    <row r="20" spans="1:28" x14ac:dyDescent="0.25">
      <c r="A20" s="28"/>
      <c r="B20" s="31"/>
      <c r="E20" s="28"/>
      <c r="H20" s="28"/>
      <c r="I20" s="41"/>
      <c r="J20" s="41"/>
      <c r="K20" s="42"/>
      <c r="L20" s="42"/>
      <c r="N20" s="43"/>
      <c r="O20" s="43"/>
      <c r="P20" s="43"/>
      <c r="Q20" s="44"/>
      <c r="R20" s="44"/>
      <c r="S20" s="44"/>
      <c r="T20" s="44"/>
      <c r="U20" s="44"/>
      <c r="V20" s="44"/>
      <c r="W20" s="44"/>
      <c r="X20" s="44"/>
      <c r="Y20" s="44"/>
      <c r="AB20" s="42"/>
    </row>
    <row r="21" spans="1:28" x14ac:dyDescent="0.25">
      <c r="A21" s="28"/>
      <c r="B21" s="31"/>
      <c r="E21" s="28"/>
      <c r="H21" s="28"/>
      <c r="I21" s="41"/>
      <c r="J21" s="41"/>
      <c r="K21" s="42"/>
      <c r="L21" s="42"/>
      <c r="N21" s="43"/>
      <c r="O21" s="43"/>
      <c r="P21" s="43"/>
      <c r="Q21" s="44"/>
      <c r="R21" s="44"/>
      <c r="S21" s="44"/>
      <c r="T21" s="44"/>
      <c r="U21" s="44"/>
      <c r="V21" s="44"/>
      <c r="W21" s="44"/>
      <c r="X21" s="44"/>
      <c r="Y21" s="44"/>
      <c r="AB21" s="42"/>
    </row>
    <row r="22" spans="1:28" x14ac:dyDescent="0.25">
      <c r="A22" s="28"/>
      <c r="B22" s="31"/>
      <c r="E22" s="28"/>
      <c r="H22" s="28"/>
      <c r="I22" s="41"/>
      <c r="J22" s="41"/>
      <c r="K22" s="42"/>
      <c r="L22" s="42"/>
      <c r="N22" s="43"/>
      <c r="O22" s="43"/>
      <c r="P22" s="43"/>
      <c r="Q22" s="44"/>
      <c r="R22" s="44"/>
      <c r="S22" s="44"/>
      <c r="T22" s="44"/>
      <c r="U22" s="44"/>
      <c r="V22" s="44"/>
      <c r="W22" s="44"/>
      <c r="X22" s="44"/>
      <c r="Y22" s="44"/>
      <c r="AB22" s="42"/>
    </row>
    <row r="23" spans="1:28" x14ac:dyDescent="0.25">
      <c r="A23" s="28"/>
      <c r="B23" s="31"/>
      <c r="E23" s="28"/>
      <c r="H23" s="28"/>
      <c r="I23" s="41"/>
      <c r="J23" s="41"/>
      <c r="K23" s="42"/>
      <c r="L23" s="42"/>
      <c r="N23" s="43"/>
      <c r="O23" s="43"/>
      <c r="P23" s="43"/>
      <c r="Q23" s="44"/>
      <c r="R23" s="44"/>
      <c r="S23" s="44"/>
      <c r="T23" s="44"/>
      <c r="U23" s="44"/>
      <c r="V23" s="44"/>
      <c r="W23" s="44"/>
      <c r="X23" s="44"/>
      <c r="Y23" s="44"/>
      <c r="AB23" s="42"/>
    </row>
    <row r="24" spans="1:28" x14ac:dyDescent="0.25">
      <c r="A24" s="28"/>
      <c r="B24" s="31"/>
      <c r="E24" s="28"/>
      <c r="H24" s="28"/>
      <c r="I24" s="41"/>
      <c r="J24" s="41"/>
      <c r="K24" s="42"/>
      <c r="L24" s="42"/>
      <c r="N24" s="43"/>
      <c r="O24" s="43"/>
      <c r="P24" s="43"/>
      <c r="Q24" s="44"/>
      <c r="R24" s="44"/>
      <c r="S24" s="44"/>
      <c r="T24" s="44"/>
      <c r="U24" s="44"/>
      <c r="V24" s="44"/>
      <c r="W24" s="44"/>
      <c r="X24" s="44"/>
      <c r="Y24" s="44"/>
      <c r="AB24" s="42"/>
    </row>
    <row r="25" spans="1:28" x14ac:dyDescent="0.25">
      <c r="A25" s="28"/>
      <c r="B25" s="31"/>
      <c r="E25" s="28"/>
      <c r="H25" s="28"/>
      <c r="I25" s="41"/>
      <c r="J25" s="41"/>
      <c r="K25" s="42"/>
      <c r="L25" s="42"/>
      <c r="N25" s="43"/>
      <c r="O25" s="43"/>
      <c r="P25" s="43"/>
      <c r="Q25" s="44"/>
      <c r="R25" s="44"/>
      <c r="S25" s="44"/>
      <c r="T25" s="44"/>
      <c r="U25" s="44"/>
      <c r="V25" s="44"/>
      <c r="W25" s="44"/>
      <c r="X25" s="44"/>
      <c r="Y25" s="44"/>
      <c r="AB25" s="42"/>
    </row>
    <row r="26" spans="1:28" x14ac:dyDescent="0.25">
      <c r="A26" s="28"/>
      <c r="B26" s="31"/>
      <c r="E26" s="28"/>
      <c r="H26" s="28"/>
      <c r="I26" s="41"/>
      <c r="J26" s="41"/>
      <c r="K26" s="42"/>
      <c r="L26" s="42"/>
      <c r="N26" s="43"/>
      <c r="O26" s="43"/>
      <c r="P26" s="43"/>
      <c r="Q26" s="44"/>
      <c r="R26" s="44"/>
      <c r="S26" s="44"/>
      <c r="T26" s="44"/>
      <c r="U26" s="44"/>
      <c r="V26" s="44"/>
      <c r="W26" s="44"/>
      <c r="X26" s="44"/>
      <c r="Y26" s="44"/>
      <c r="AB26" s="42"/>
    </row>
    <row r="27" spans="1:28" x14ac:dyDescent="0.25">
      <c r="A27" s="28"/>
      <c r="B27" s="31"/>
      <c r="E27" s="28"/>
      <c r="H27" s="28"/>
      <c r="I27" s="41"/>
      <c r="J27" s="41"/>
      <c r="K27" s="42"/>
      <c r="L27" s="42"/>
      <c r="N27" s="43"/>
      <c r="O27" s="43"/>
      <c r="P27" s="43"/>
      <c r="Q27" s="44"/>
      <c r="R27" s="44"/>
      <c r="S27" s="44"/>
      <c r="T27" s="44"/>
      <c r="U27" s="44"/>
      <c r="V27" s="44"/>
      <c r="W27" s="44"/>
      <c r="X27" s="44"/>
      <c r="Y27" s="44"/>
      <c r="AB27" s="42"/>
    </row>
    <row r="28" spans="1:28" x14ac:dyDescent="0.25">
      <c r="A28" s="28"/>
      <c r="B28" s="31"/>
      <c r="E28" s="28"/>
      <c r="H28" s="28"/>
      <c r="I28" s="41"/>
      <c r="J28" s="41"/>
      <c r="K28" s="42"/>
      <c r="L28" s="42"/>
      <c r="N28" s="43"/>
      <c r="O28" s="43"/>
      <c r="P28" s="43"/>
      <c r="Q28" s="44"/>
      <c r="R28" s="44"/>
      <c r="S28" s="44"/>
      <c r="T28" s="44"/>
      <c r="U28" s="44"/>
      <c r="V28" s="44"/>
      <c r="W28" s="44"/>
      <c r="X28" s="44"/>
      <c r="Y28" s="44"/>
      <c r="AB28" s="42"/>
    </row>
    <row r="29" spans="1:28" x14ac:dyDescent="0.25">
      <c r="A29" s="28"/>
      <c r="B29" s="31"/>
      <c r="E29" s="28"/>
      <c r="H29" s="28"/>
      <c r="I29" s="41"/>
      <c r="J29" s="41"/>
      <c r="K29" s="42"/>
      <c r="L29" s="42"/>
      <c r="N29" s="43"/>
      <c r="O29" s="43"/>
      <c r="P29" s="43"/>
      <c r="Q29" s="44"/>
      <c r="R29" s="44"/>
      <c r="S29" s="44"/>
      <c r="T29" s="44"/>
      <c r="U29" s="44"/>
      <c r="V29" s="44"/>
      <c r="W29" s="44"/>
      <c r="X29" s="44"/>
      <c r="Y29" s="44"/>
      <c r="AB29" s="42"/>
    </row>
    <row r="30" spans="1:28" x14ac:dyDescent="0.25">
      <c r="A30" s="28"/>
      <c r="B30" s="31"/>
      <c r="E30" s="28"/>
      <c r="H30" s="28"/>
      <c r="I30" s="41"/>
      <c r="J30" s="41"/>
      <c r="K30" s="42"/>
      <c r="L30" s="42"/>
      <c r="N30" s="43"/>
      <c r="O30" s="43"/>
      <c r="P30" s="43"/>
      <c r="Q30" s="44"/>
      <c r="R30" s="44"/>
      <c r="S30" s="44"/>
      <c r="T30" s="44"/>
      <c r="U30" s="44"/>
      <c r="V30" s="44"/>
      <c r="W30" s="44"/>
      <c r="X30" s="44"/>
      <c r="Y30" s="44"/>
      <c r="AB30" s="42"/>
    </row>
    <row r="31" spans="1:28" x14ac:dyDescent="0.25">
      <c r="A31" s="28"/>
      <c r="B31" s="31"/>
      <c r="E31" s="28"/>
      <c r="H31" s="28"/>
      <c r="I31" s="41"/>
      <c r="J31" s="41"/>
      <c r="K31" s="42"/>
      <c r="L31" s="42"/>
      <c r="N31" s="43"/>
      <c r="O31" s="43"/>
      <c r="P31" s="43"/>
      <c r="Q31" s="44"/>
      <c r="R31" s="44"/>
      <c r="S31" s="44"/>
      <c r="T31" s="44"/>
      <c r="U31" s="44"/>
      <c r="V31" s="44"/>
      <c r="W31" s="44"/>
      <c r="X31" s="44"/>
      <c r="Y31" s="44"/>
      <c r="AB31" s="42"/>
    </row>
    <row r="32" spans="1:28" x14ac:dyDescent="0.25">
      <c r="A32" s="28"/>
      <c r="B32" s="31"/>
      <c r="E32" s="28"/>
      <c r="H32" s="28"/>
      <c r="I32" s="41"/>
      <c r="J32" s="41"/>
      <c r="K32" s="42"/>
      <c r="L32" s="42"/>
      <c r="N32" s="43"/>
      <c r="O32" s="43"/>
      <c r="P32" s="43"/>
      <c r="Q32" s="44"/>
      <c r="R32" s="44"/>
      <c r="S32" s="44"/>
      <c r="T32" s="44"/>
      <c r="U32" s="44"/>
      <c r="V32" s="44"/>
      <c r="W32" s="44"/>
      <c r="X32" s="44"/>
      <c r="Y32" s="44"/>
      <c r="AB32" s="42"/>
    </row>
    <row r="33" spans="1:28" x14ac:dyDescent="0.25">
      <c r="A33" s="28"/>
      <c r="B33" s="31"/>
      <c r="E33" s="28"/>
      <c r="H33" s="28"/>
      <c r="I33" s="41"/>
      <c r="J33" s="41"/>
      <c r="K33" s="42"/>
      <c r="L33" s="42"/>
      <c r="N33" s="43"/>
      <c r="O33" s="43"/>
      <c r="P33" s="43"/>
      <c r="Q33" s="44"/>
      <c r="R33" s="44"/>
      <c r="S33" s="44"/>
      <c r="T33" s="44"/>
      <c r="U33" s="44"/>
      <c r="V33" s="44"/>
      <c r="W33" s="44"/>
      <c r="X33" s="44"/>
      <c r="Y33" s="44"/>
      <c r="AB33" s="42"/>
    </row>
    <row r="34" spans="1:28" x14ac:dyDescent="0.25">
      <c r="A34" s="28"/>
      <c r="B34" s="31"/>
      <c r="E34" s="28"/>
      <c r="H34" s="28"/>
      <c r="I34" s="41"/>
      <c r="J34" s="41"/>
      <c r="K34" s="42"/>
      <c r="L34" s="42"/>
      <c r="N34" s="43"/>
      <c r="O34" s="43"/>
      <c r="P34" s="43"/>
      <c r="Q34" s="44"/>
      <c r="R34" s="44"/>
      <c r="S34" s="44"/>
      <c r="T34" s="44"/>
      <c r="U34" s="44"/>
      <c r="V34" s="44"/>
      <c r="W34" s="44"/>
      <c r="X34" s="44"/>
      <c r="Y34" s="44"/>
      <c r="AB34" s="42"/>
    </row>
    <row r="35" spans="1:28" x14ac:dyDescent="0.25">
      <c r="A35" s="28"/>
      <c r="B35" s="31"/>
      <c r="E35" s="28"/>
      <c r="H35" s="28"/>
      <c r="I35" s="41"/>
      <c r="J35" s="41"/>
      <c r="K35" s="42"/>
      <c r="L35" s="42"/>
      <c r="N35" s="43"/>
      <c r="O35" s="43"/>
      <c r="P35" s="43"/>
      <c r="Q35" s="44"/>
      <c r="R35" s="44"/>
      <c r="S35" s="44"/>
      <c r="T35" s="44"/>
      <c r="U35" s="44"/>
      <c r="V35" s="44"/>
      <c r="W35" s="44"/>
      <c r="X35" s="44"/>
      <c r="Y35" s="44"/>
      <c r="AB35" s="42"/>
    </row>
    <row r="36" spans="1:28" x14ac:dyDescent="0.25">
      <c r="A36" s="28"/>
      <c r="B36" s="31"/>
      <c r="E36" s="28"/>
      <c r="H36" s="28"/>
      <c r="I36" s="41"/>
      <c r="J36" s="41"/>
      <c r="K36" s="42"/>
      <c r="L36" s="42"/>
      <c r="N36" s="43"/>
      <c r="O36" s="43"/>
      <c r="P36" s="43"/>
      <c r="Q36" s="44"/>
      <c r="R36" s="44"/>
      <c r="S36" s="44"/>
      <c r="T36" s="44"/>
      <c r="U36" s="44"/>
      <c r="V36" s="44"/>
      <c r="W36" s="44"/>
      <c r="X36" s="44"/>
      <c r="Y36" s="44"/>
      <c r="AB36" s="42"/>
    </row>
    <row r="37" spans="1:28" x14ac:dyDescent="0.25">
      <c r="A37" s="28"/>
      <c r="B37" s="31"/>
      <c r="E37" s="28"/>
      <c r="H37" s="28"/>
      <c r="I37" s="41"/>
      <c r="J37" s="41"/>
      <c r="K37" s="42"/>
      <c r="L37" s="42"/>
      <c r="N37" s="43"/>
      <c r="O37" s="43"/>
      <c r="P37" s="43"/>
      <c r="Q37" s="44"/>
      <c r="R37" s="44"/>
      <c r="S37" s="44"/>
      <c r="T37" s="44"/>
      <c r="U37" s="44"/>
      <c r="V37" s="44"/>
      <c r="W37" s="44"/>
      <c r="X37" s="44"/>
      <c r="Y37" s="44"/>
      <c r="AB37" s="42"/>
    </row>
    <row r="38" spans="1:28" x14ac:dyDescent="0.25">
      <c r="A38" s="28"/>
      <c r="B38" s="31"/>
      <c r="E38" s="28"/>
      <c r="H38" s="28"/>
      <c r="I38" s="41"/>
      <c r="J38" s="41"/>
      <c r="K38" s="42"/>
      <c r="L38" s="42"/>
      <c r="N38" s="43"/>
      <c r="O38" s="43"/>
      <c r="P38" s="43"/>
      <c r="Q38" s="44"/>
      <c r="R38" s="44"/>
      <c r="S38" s="44"/>
      <c r="T38" s="44"/>
      <c r="U38" s="44"/>
      <c r="V38" s="44"/>
      <c r="W38" s="44"/>
      <c r="X38" s="44"/>
      <c r="Y38" s="44"/>
      <c r="AB38" s="42"/>
    </row>
    <row r="39" spans="1:28" x14ac:dyDescent="0.25">
      <c r="A39" s="28"/>
      <c r="B39" s="31"/>
      <c r="E39" s="28"/>
      <c r="H39" s="28"/>
      <c r="I39" s="41"/>
      <c r="J39" s="41"/>
      <c r="K39" s="42"/>
      <c r="L39" s="42"/>
      <c r="N39" s="43"/>
      <c r="O39" s="43"/>
      <c r="P39" s="43"/>
      <c r="Q39" s="44"/>
      <c r="R39" s="44"/>
      <c r="S39" s="44"/>
      <c r="T39" s="44"/>
      <c r="U39" s="44"/>
      <c r="V39" s="44"/>
      <c r="W39" s="44"/>
      <c r="X39" s="44"/>
      <c r="Y39" s="44"/>
      <c r="AB39" s="42"/>
    </row>
    <row r="40" spans="1:28" x14ac:dyDescent="0.25">
      <c r="A40" s="28"/>
      <c r="B40" s="31"/>
      <c r="E40" s="28"/>
      <c r="H40" s="28"/>
      <c r="I40" s="41"/>
      <c r="J40" s="41"/>
      <c r="K40" s="42"/>
      <c r="L40" s="42"/>
      <c r="N40" s="43"/>
      <c r="O40" s="43"/>
      <c r="P40" s="43"/>
      <c r="Q40" s="44"/>
      <c r="R40" s="44"/>
      <c r="S40" s="44"/>
      <c r="T40" s="44"/>
      <c r="U40" s="44"/>
      <c r="V40" s="44"/>
      <c r="W40" s="44"/>
      <c r="X40" s="44"/>
      <c r="Y40" s="44"/>
      <c r="AB40" s="42"/>
    </row>
    <row r="41" spans="1:28" x14ac:dyDescent="0.25">
      <c r="A41" s="28"/>
      <c r="B41" s="31"/>
      <c r="E41" s="28"/>
      <c r="H41" s="28"/>
      <c r="I41" s="41"/>
      <c r="J41" s="41"/>
      <c r="K41" s="42"/>
      <c r="L41" s="42"/>
      <c r="N41" s="43"/>
      <c r="O41" s="43"/>
      <c r="P41" s="43"/>
      <c r="Q41" s="44"/>
      <c r="R41" s="44"/>
      <c r="S41" s="44"/>
      <c r="T41" s="44"/>
      <c r="U41" s="44"/>
      <c r="V41" s="44"/>
      <c r="W41" s="44"/>
      <c r="X41" s="44"/>
      <c r="Y41" s="44"/>
      <c r="AB41" s="42"/>
    </row>
    <row r="42" spans="1:28" x14ac:dyDescent="0.25">
      <c r="A42" s="28"/>
      <c r="B42" s="31"/>
      <c r="E42" s="28"/>
      <c r="H42" s="28"/>
      <c r="I42" s="41"/>
      <c r="J42" s="41"/>
      <c r="K42" s="42"/>
      <c r="L42" s="42"/>
      <c r="N42" s="43"/>
      <c r="O42" s="43"/>
      <c r="P42" s="43"/>
      <c r="Q42" s="44"/>
      <c r="R42" s="44"/>
      <c r="S42" s="44"/>
      <c r="T42" s="44"/>
      <c r="U42" s="44"/>
      <c r="V42" s="44"/>
      <c r="W42" s="44"/>
      <c r="X42" s="44"/>
      <c r="Y42" s="44"/>
      <c r="AB42" s="42"/>
    </row>
    <row r="43" spans="1:28" x14ac:dyDescent="0.25">
      <c r="A43" s="28"/>
      <c r="B43" s="31"/>
      <c r="E43" s="28"/>
      <c r="H43" s="28"/>
      <c r="I43" s="41"/>
      <c r="J43" s="41"/>
      <c r="K43" s="42"/>
      <c r="L43" s="42"/>
      <c r="N43" s="43"/>
      <c r="O43" s="43"/>
      <c r="P43" s="43"/>
      <c r="Q43" s="44"/>
      <c r="R43" s="44"/>
      <c r="S43" s="44"/>
      <c r="T43" s="44"/>
      <c r="U43" s="44"/>
      <c r="V43" s="44"/>
      <c r="W43" s="44"/>
      <c r="X43" s="44"/>
      <c r="Y43" s="44"/>
      <c r="AB43" s="42"/>
    </row>
    <row r="44" spans="1:28" x14ac:dyDescent="0.25">
      <c r="A44" s="28"/>
      <c r="B44" s="31"/>
      <c r="E44" s="28"/>
      <c r="H44" s="28"/>
      <c r="I44" s="41"/>
      <c r="J44" s="41"/>
      <c r="K44" s="42"/>
      <c r="L44" s="42"/>
      <c r="N44" s="43"/>
      <c r="O44" s="43"/>
      <c r="P44" s="43"/>
      <c r="Q44" s="44"/>
      <c r="R44" s="44"/>
      <c r="S44" s="44"/>
      <c r="T44" s="44"/>
      <c r="U44" s="44"/>
      <c r="V44" s="44"/>
      <c r="W44" s="44"/>
      <c r="X44" s="44"/>
      <c r="Y44" s="44"/>
      <c r="AB44" s="42"/>
    </row>
    <row r="45" spans="1:28" x14ac:dyDescent="0.25">
      <c r="A45" s="28"/>
      <c r="B45" s="31"/>
      <c r="E45" s="28"/>
      <c r="H45" s="28"/>
      <c r="I45" s="41"/>
      <c r="J45" s="41"/>
      <c r="K45" s="42"/>
      <c r="L45" s="42"/>
      <c r="N45" s="43"/>
      <c r="O45" s="43"/>
      <c r="P45" s="43"/>
      <c r="Q45" s="44"/>
      <c r="R45" s="44"/>
      <c r="S45" s="44"/>
      <c r="T45" s="44"/>
      <c r="U45" s="44"/>
      <c r="V45" s="44"/>
      <c r="W45" s="44"/>
      <c r="X45" s="44"/>
      <c r="Y45" s="44"/>
      <c r="AB45" s="42"/>
    </row>
    <row r="46" spans="1:28" x14ac:dyDescent="0.25">
      <c r="A46" s="28"/>
      <c r="B46" s="31"/>
      <c r="E46" s="28"/>
      <c r="H46" s="28"/>
      <c r="I46" s="41"/>
      <c r="J46" s="41"/>
      <c r="K46" s="42"/>
      <c r="L46" s="42"/>
      <c r="N46" s="43"/>
      <c r="O46" s="43"/>
      <c r="P46" s="43"/>
      <c r="Q46" s="44"/>
      <c r="R46" s="44"/>
      <c r="S46" s="44"/>
      <c r="T46" s="44"/>
      <c r="U46" s="44"/>
      <c r="V46" s="44"/>
      <c r="W46" s="44"/>
      <c r="X46" s="44"/>
      <c r="Y46" s="44"/>
      <c r="AB46" s="42"/>
    </row>
    <row r="47" spans="1:28" x14ac:dyDescent="0.25">
      <c r="A47" s="28"/>
      <c r="B47" s="31"/>
      <c r="E47" s="28"/>
      <c r="H47" s="28"/>
      <c r="I47" s="41"/>
      <c r="J47" s="41"/>
      <c r="K47" s="42"/>
      <c r="L47" s="42"/>
      <c r="N47" s="43"/>
      <c r="O47" s="43"/>
      <c r="P47" s="43"/>
      <c r="Q47" s="44"/>
      <c r="R47" s="44"/>
      <c r="S47" s="44"/>
      <c r="T47" s="44"/>
      <c r="U47" s="44"/>
      <c r="V47" s="44"/>
      <c r="W47" s="44"/>
      <c r="X47" s="44"/>
      <c r="Y47" s="44"/>
      <c r="AB47" s="42"/>
    </row>
    <row r="48" spans="1:28" x14ac:dyDescent="0.25">
      <c r="A48" s="28"/>
      <c r="B48" s="31"/>
      <c r="E48" s="28"/>
      <c r="H48" s="28"/>
      <c r="I48" s="41"/>
      <c r="J48" s="41"/>
      <c r="K48" s="42"/>
      <c r="L48" s="42"/>
      <c r="N48" s="43"/>
      <c r="O48" s="43"/>
      <c r="P48" s="43"/>
      <c r="Q48" s="44"/>
      <c r="R48" s="44"/>
      <c r="S48" s="44"/>
      <c r="T48" s="44"/>
      <c r="U48" s="44"/>
      <c r="V48" s="44"/>
      <c r="W48" s="44"/>
      <c r="X48" s="44"/>
      <c r="Y48" s="44"/>
      <c r="AB48" s="42"/>
    </row>
    <row r="49" spans="1:28" x14ac:dyDescent="0.25">
      <c r="A49" s="28"/>
      <c r="B49" s="31"/>
      <c r="E49" s="28"/>
      <c r="H49" s="28"/>
      <c r="I49" s="41"/>
      <c r="J49" s="41"/>
      <c r="K49" s="42"/>
      <c r="L49" s="42"/>
      <c r="N49" s="43"/>
      <c r="O49" s="43"/>
      <c r="P49" s="43"/>
      <c r="Q49" s="44"/>
      <c r="R49" s="44"/>
      <c r="S49" s="44"/>
      <c r="T49" s="44"/>
      <c r="U49" s="44"/>
      <c r="V49" s="44"/>
      <c r="W49" s="44"/>
      <c r="X49" s="44"/>
      <c r="Y49" s="44"/>
      <c r="AB49" s="42"/>
    </row>
    <row r="50" spans="1:28" x14ac:dyDescent="0.25">
      <c r="A50" s="28"/>
      <c r="B50" s="31"/>
      <c r="E50" s="28"/>
      <c r="H50" s="28"/>
      <c r="I50" s="41"/>
      <c r="J50" s="41"/>
      <c r="K50" s="42"/>
      <c r="L50" s="42"/>
      <c r="N50" s="43"/>
      <c r="O50" s="43"/>
      <c r="P50" s="43"/>
      <c r="Q50" s="44"/>
      <c r="R50" s="44"/>
      <c r="S50" s="44"/>
      <c r="T50" s="44"/>
      <c r="U50" s="44"/>
      <c r="V50" s="44"/>
      <c r="W50" s="44"/>
      <c r="X50" s="44"/>
      <c r="Y50" s="44"/>
      <c r="AB50" s="42"/>
    </row>
    <row r="51" spans="1:28" x14ac:dyDescent="0.25">
      <c r="A51" s="28"/>
      <c r="B51" s="31"/>
      <c r="E51" s="28"/>
      <c r="H51" s="28"/>
      <c r="I51" s="41"/>
      <c r="J51" s="41"/>
      <c r="K51" s="42"/>
      <c r="L51" s="42"/>
      <c r="N51" s="43"/>
      <c r="O51" s="43"/>
      <c r="P51" s="43"/>
      <c r="Q51" s="44"/>
      <c r="R51" s="44"/>
      <c r="S51" s="44"/>
      <c r="T51" s="44"/>
      <c r="U51" s="44"/>
      <c r="V51" s="44"/>
      <c r="W51" s="44"/>
      <c r="X51" s="44"/>
      <c r="Y51" s="44"/>
      <c r="AB51" s="42"/>
    </row>
    <row r="52" spans="1:28" x14ac:dyDescent="0.25">
      <c r="A52" s="28"/>
      <c r="B52" s="31"/>
      <c r="E52" s="28"/>
      <c r="H52" s="28"/>
      <c r="I52" s="41"/>
      <c r="J52" s="41"/>
      <c r="K52" s="42"/>
      <c r="L52" s="42"/>
      <c r="N52" s="43"/>
      <c r="O52" s="43"/>
      <c r="P52" s="43"/>
      <c r="Q52" s="44"/>
      <c r="R52" s="44"/>
      <c r="S52" s="44"/>
      <c r="T52" s="44"/>
      <c r="U52" s="44"/>
      <c r="V52" s="44"/>
      <c r="W52" s="44"/>
      <c r="X52" s="44"/>
      <c r="Y52" s="44"/>
      <c r="AB52" s="42"/>
    </row>
    <row r="53" spans="1:28" x14ac:dyDescent="0.25">
      <c r="A53" s="28"/>
      <c r="B53" s="31"/>
      <c r="E53" s="28"/>
      <c r="H53" s="28"/>
      <c r="I53" s="41"/>
      <c r="J53" s="41"/>
      <c r="K53" s="42"/>
      <c r="L53" s="42"/>
      <c r="N53" s="43"/>
      <c r="O53" s="43"/>
      <c r="P53" s="43"/>
      <c r="Q53" s="44"/>
      <c r="R53" s="44"/>
      <c r="S53" s="44"/>
      <c r="T53" s="44"/>
      <c r="U53" s="44"/>
      <c r="V53" s="44"/>
      <c r="W53" s="44"/>
      <c r="X53" s="44"/>
      <c r="Y53" s="44"/>
      <c r="AB53" s="42"/>
    </row>
    <row r="54" spans="1:28" x14ac:dyDescent="0.25">
      <c r="A54" s="28"/>
      <c r="B54" s="31"/>
      <c r="E54" s="28"/>
      <c r="H54" s="28"/>
      <c r="I54" s="41"/>
      <c r="J54" s="41"/>
      <c r="K54" s="42"/>
      <c r="L54" s="42"/>
      <c r="N54" s="43"/>
      <c r="O54" s="43"/>
      <c r="P54" s="43"/>
      <c r="Q54" s="44"/>
      <c r="R54" s="44"/>
      <c r="S54" s="44"/>
      <c r="T54" s="44"/>
      <c r="U54" s="44"/>
      <c r="V54" s="44"/>
      <c r="W54" s="44"/>
      <c r="X54" s="44"/>
      <c r="Y54" s="44"/>
      <c r="AB54" s="42"/>
    </row>
    <row r="55" spans="1:28" x14ac:dyDescent="0.25">
      <c r="A55" s="28"/>
      <c r="B55" s="31"/>
      <c r="E55" s="28"/>
      <c r="H55" s="28"/>
      <c r="I55" s="41"/>
      <c r="J55" s="41"/>
      <c r="K55" s="42"/>
      <c r="L55" s="42"/>
      <c r="N55" s="43"/>
      <c r="O55" s="43"/>
      <c r="P55" s="43"/>
      <c r="Q55" s="44"/>
      <c r="R55" s="44"/>
      <c r="S55" s="44"/>
      <c r="T55" s="44"/>
      <c r="U55" s="44"/>
      <c r="V55" s="44"/>
      <c r="W55" s="44"/>
      <c r="X55" s="44"/>
      <c r="Y55" s="44"/>
      <c r="AB55" s="42"/>
    </row>
    <row r="56" spans="1:28" x14ac:dyDescent="0.25">
      <c r="A56" s="28"/>
      <c r="B56" s="31"/>
      <c r="E56" s="28"/>
      <c r="H56" s="28"/>
      <c r="I56" s="41"/>
      <c r="J56" s="41"/>
      <c r="K56" s="42"/>
      <c r="L56" s="42"/>
      <c r="N56" s="43"/>
      <c r="O56" s="43"/>
      <c r="P56" s="43"/>
      <c r="Q56" s="44"/>
      <c r="R56" s="44"/>
      <c r="S56" s="44"/>
      <c r="T56" s="44"/>
      <c r="U56" s="44"/>
      <c r="V56" s="44"/>
      <c r="W56" s="44"/>
      <c r="X56" s="44"/>
      <c r="Y56" s="44"/>
      <c r="AB56" s="42"/>
    </row>
    <row r="57" spans="1:28" x14ac:dyDescent="0.25">
      <c r="A57" s="28"/>
      <c r="B57" s="31"/>
      <c r="E57" s="28"/>
      <c r="H57" s="28"/>
      <c r="I57" s="41"/>
      <c r="J57" s="41"/>
      <c r="K57" s="42"/>
      <c r="L57" s="42"/>
      <c r="N57" s="43"/>
      <c r="O57" s="43"/>
      <c r="P57" s="43"/>
      <c r="Q57" s="44"/>
      <c r="R57" s="44"/>
      <c r="S57" s="44"/>
      <c r="T57" s="44"/>
      <c r="U57" s="44"/>
      <c r="V57" s="44"/>
      <c r="W57" s="44"/>
      <c r="X57" s="44"/>
      <c r="Y57" s="44"/>
      <c r="AB57" s="42"/>
    </row>
    <row r="58" spans="1:28" x14ac:dyDescent="0.25">
      <c r="A58" s="28"/>
      <c r="B58" s="31"/>
      <c r="E58" s="28"/>
      <c r="H58" s="28"/>
      <c r="I58" s="41"/>
      <c r="J58" s="41"/>
      <c r="K58" s="42"/>
      <c r="L58" s="42"/>
      <c r="N58" s="43"/>
      <c r="O58" s="43"/>
      <c r="P58" s="43"/>
      <c r="Q58" s="44"/>
      <c r="R58" s="44"/>
      <c r="S58" s="44"/>
      <c r="T58" s="44"/>
      <c r="U58" s="44"/>
      <c r="V58" s="44"/>
      <c r="W58" s="44"/>
      <c r="X58" s="44"/>
      <c r="Y58" s="44"/>
      <c r="AB58" s="42"/>
    </row>
    <row r="59" spans="1:28" x14ac:dyDescent="0.25">
      <c r="A59" s="28"/>
      <c r="B59" s="31"/>
      <c r="E59" s="28"/>
      <c r="H59" s="28"/>
      <c r="I59" s="41"/>
      <c r="J59" s="41"/>
      <c r="K59" s="42"/>
      <c r="L59" s="42"/>
      <c r="N59" s="43"/>
      <c r="O59" s="43"/>
      <c r="P59" s="43"/>
      <c r="Q59" s="44"/>
      <c r="R59" s="44"/>
      <c r="S59" s="44"/>
      <c r="T59" s="44"/>
      <c r="U59" s="44"/>
      <c r="V59" s="44"/>
      <c r="W59" s="44"/>
      <c r="X59" s="44"/>
      <c r="Y59" s="44"/>
      <c r="AB59" s="42"/>
    </row>
    <row r="60" spans="1:28" x14ac:dyDescent="0.25">
      <c r="A60" s="28"/>
      <c r="B60" s="31"/>
      <c r="E60" s="28"/>
      <c r="H60" s="28"/>
      <c r="I60" s="41"/>
      <c r="J60" s="41"/>
      <c r="K60" s="42"/>
      <c r="L60" s="42"/>
      <c r="N60" s="43"/>
      <c r="O60" s="43"/>
      <c r="P60" s="43"/>
      <c r="Q60" s="44"/>
      <c r="R60" s="44"/>
      <c r="S60" s="44"/>
      <c r="T60" s="44"/>
      <c r="U60" s="44"/>
      <c r="V60" s="44"/>
      <c r="W60" s="44"/>
      <c r="X60" s="44"/>
      <c r="Y60" s="44"/>
      <c r="AB60" s="42"/>
    </row>
    <row r="61" spans="1:28" x14ac:dyDescent="0.25">
      <c r="A61" s="28"/>
      <c r="B61" s="31"/>
      <c r="E61" s="28"/>
      <c r="H61" s="28"/>
      <c r="I61" s="41"/>
      <c r="J61" s="41"/>
      <c r="K61" s="42"/>
      <c r="L61" s="42"/>
      <c r="N61" s="43"/>
      <c r="O61" s="43"/>
      <c r="P61" s="43"/>
      <c r="Q61" s="44"/>
      <c r="R61" s="44"/>
      <c r="S61" s="44"/>
      <c r="T61" s="44"/>
      <c r="U61" s="44"/>
      <c r="V61" s="44"/>
      <c r="W61" s="44"/>
      <c r="X61" s="44"/>
      <c r="Y61" s="44"/>
      <c r="AB61" s="42"/>
    </row>
    <row r="62" spans="1:28" x14ac:dyDescent="0.25">
      <c r="A62" s="28"/>
      <c r="B62" s="31"/>
      <c r="E62" s="28"/>
      <c r="H62" s="28"/>
      <c r="I62" s="41"/>
      <c r="J62" s="41"/>
      <c r="K62" s="42"/>
      <c r="L62" s="42"/>
      <c r="N62" s="43"/>
      <c r="O62" s="43"/>
      <c r="P62" s="43"/>
      <c r="Q62" s="44"/>
      <c r="R62" s="44"/>
      <c r="S62" s="44"/>
      <c r="T62" s="44"/>
      <c r="U62" s="44"/>
      <c r="V62" s="44"/>
      <c r="W62" s="44"/>
      <c r="X62" s="44"/>
      <c r="Y62" s="44"/>
      <c r="AB62" s="42"/>
    </row>
    <row r="63" spans="1:28" x14ac:dyDescent="0.25">
      <c r="A63" s="28"/>
      <c r="B63" s="31"/>
      <c r="E63" s="28"/>
      <c r="H63" s="28"/>
      <c r="I63" s="41"/>
      <c r="J63" s="41"/>
      <c r="K63" s="42"/>
      <c r="L63" s="42"/>
      <c r="N63" s="43"/>
      <c r="O63" s="43"/>
      <c r="P63" s="43"/>
      <c r="Q63" s="44"/>
      <c r="R63" s="44"/>
      <c r="S63" s="44"/>
      <c r="T63" s="44"/>
      <c r="U63" s="44"/>
      <c r="V63" s="44"/>
      <c r="W63" s="44"/>
      <c r="X63" s="44"/>
      <c r="Y63" s="44"/>
      <c r="AB63" s="42"/>
    </row>
    <row r="64" spans="1:28" x14ac:dyDescent="0.25">
      <c r="A64" s="28"/>
      <c r="B64" s="31"/>
      <c r="E64" s="28"/>
      <c r="H64" s="28"/>
      <c r="I64" s="41"/>
      <c r="J64" s="41"/>
      <c r="K64" s="42"/>
      <c r="L64" s="42"/>
      <c r="N64" s="43"/>
      <c r="O64" s="43"/>
      <c r="P64" s="43"/>
      <c r="Q64" s="44"/>
      <c r="R64" s="44"/>
      <c r="S64" s="44"/>
      <c r="T64" s="44"/>
      <c r="U64" s="44"/>
      <c r="V64" s="44"/>
      <c r="W64" s="44"/>
      <c r="X64" s="44"/>
      <c r="Y64" s="44"/>
      <c r="AB64" s="42"/>
    </row>
    <row r="65" spans="1:28" x14ac:dyDescent="0.25">
      <c r="A65" s="28"/>
      <c r="B65" s="31"/>
      <c r="E65" s="28"/>
      <c r="H65" s="28"/>
      <c r="I65" s="41"/>
      <c r="J65" s="41"/>
      <c r="K65" s="42"/>
      <c r="L65" s="42"/>
      <c r="N65" s="43"/>
      <c r="O65" s="43"/>
      <c r="P65" s="43"/>
      <c r="Q65" s="44"/>
      <c r="R65" s="44"/>
      <c r="S65" s="44"/>
      <c r="T65" s="44"/>
      <c r="U65" s="44"/>
      <c r="V65" s="44"/>
      <c r="W65" s="44"/>
      <c r="X65" s="44"/>
      <c r="Y65" s="44"/>
      <c r="AB65" s="42"/>
    </row>
    <row r="66" spans="1:28" x14ac:dyDescent="0.25">
      <c r="A66" s="28"/>
      <c r="B66" s="31"/>
      <c r="E66" s="28"/>
      <c r="H66" s="28"/>
      <c r="I66" s="41"/>
      <c r="J66" s="41"/>
      <c r="K66" s="42"/>
      <c r="L66" s="42"/>
      <c r="N66" s="43"/>
      <c r="O66" s="43"/>
      <c r="P66" s="43"/>
      <c r="Q66" s="44"/>
      <c r="R66" s="44"/>
      <c r="S66" s="44"/>
      <c r="T66" s="44"/>
      <c r="U66" s="44"/>
      <c r="V66" s="44"/>
      <c r="W66" s="44"/>
      <c r="X66" s="44"/>
      <c r="Y66" s="44"/>
      <c r="AB66" s="42"/>
    </row>
    <row r="67" spans="1:28" x14ac:dyDescent="0.25">
      <c r="A67" s="28"/>
      <c r="B67" s="31"/>
      <c r="E67" s="28"/>
      <c r="H67" s="28"/>
      <c r="I67" s="41"/>
      <c r="J67" s="41"/>
      <c r="K67" s="42"/>
      <c r="L67" s="42"/>
      <c r="N67" s="43"/>
      <c r="O67" s="43"/>
      <c r="P67" s="43"/>
      <c r="Q67" s="44"/>
      <c r="R67" s="44"/>
      <c r="S67" s="44"/>
      <c r="T67" s="44"/>
      <c r="U67" s="44"/>
      <c r="V67" s="44"/>
      <c r="W67" s="44"/>
      <c r="X67" s="44"/>
      <c r="Y67" s="44"/>
      <c r="AB67" s="42"/>
    </row>
    <row r="68" spans="1:28" x14ac:dyDescent="0.25">
      <c r="A68" s="28"/>
      <c r="B68" s="31"/>
      <c r="E68" s="28"/>
      <c r="H68" s="28"/>
      <c r="I68" s="41"/>
      <c r="J68" s="41"/>
      <c r="K68" s="42"/>
      <c r="L68" s="42"/>
      <c r="N68" s="43"/>
      <c r="O68" s="43"/>
      <c r="P68" s="43"/>
      <c r="Q68" s="44"/>
      <c r="R68" s="44"/>
      <c r="S68" s="44"/>
      <c r="T68" s="44"/>
      <c r="U68" s="44"/>
      <c r="V68" s="44"/>
      <c r="W68" s="44"/>
      <c r="X68" s="44"/>
      <c r="Y68" s="44"/>
      <c r="AB68" s="42"/>
    </row>
    <row r="69" spans="1:28" x14ac:dyDescent="0.25">
      <c r="A69" s="28"/>
      <c r="B69" s="31"/>
      <c r="E69" s="28"/>
      <c r="H69" s="28"/>
      <c r="I69" s="41"/>
      <c r="J69" s="41"/>
      <c r="K69" s="42"/>
      <c r="L69" s="42"/>
      <c r="N69" s="43"/>
      <c r="O69" s="43"/>
      <c r="P69" s="43"/>
      <c r="Q69" s="44"/>
      <c r="R69" s="44"/>
      <c r="S69" s="44"/>
      <c r="T69" s="44"/>
      <c r="U69" s="44"/>
      <c r="V69" s="44"/>
      <c r="W69" s="44"/>
      <c r="X69" s="44"/>
      <c r="Y69" s="44"/>
      <c r="AB69" s="42"/>
    </row>
    <row r="70" spans="1:28" x14ac:dyDescent="0.25">
      <c r="A70" s="28"/>
      <c r="B70" s="31"/>
      <c r="E70" s="28"/>
      <c r="H70" s="28"/>
      <c r="I70" s="41"/>
      <c r="J70" s="41"/>
      <c r="K70" s="42"/>
      <c r="L70" s="42"/>
      <c r="N70" s="43"/>
      <c r="O70" s="43"/>
      <c r="P70" s="43"/>
      <c r="Q70" s="44"/>
      <c r="R70" s="44"/>
      <c r="S70" s="44"/>
      <c r="T70" s="44"/>
      <c r="U70" s="44"/>
      <c r="V70" s="44"/>
      <c r="W70" s="44"/>
      <c r="X70" s="44"/>
      <c r="Y70" s="44"/>
      <c r="AB70" s="42"/>
    </row>
    <row r="71" spans="1:28" x14ac:dyDescent="0.25">
      <c r="A71" s="28"/>
      <c r="B71" s="31"/>
      <c r="E71" s="28"/>
      <c r="H71" s="28"/>
      <c r="I71" s="41"/>
      <c r="J71" s="41"/>
      <c r="K71" s="42"/>
      <c r="L71" s="42"/>
      <c r="N71" s="43"/>
      <c r="O71" s="43"/>
      <c r="P71" s="43"/>
      <c r="Q71" s="44"/>
      <c r="R71" s="44"/>
      <c r="S71" s="44"/>
      <c r="T71" s="44"/>
      <c r="U71" s="44"/>
      <c r="V71" s="44"/>
      <c r="W71" s="44"/>
      <c r="X71" s="44"/>
      <c r="Y71" s="44"/>
      <c r="AB71" s="42"/>
    </row>
    <row r="72" spans="1:28" x14ac:dyDescent="0.25">
      <c r="A72" s="28"/>
      <c r="B72" s="31"/>
      <c r="E72" s="28"/>
      <c r="H72" s="28"/>
      <c r="I72" s="41"/>
      <c r="J72" s="41"/>
      <c r="K72" s="42"/>
      <c r="L72" s="42"/>
      <c r="N72" s="43"/>
      <c r="O72" s="43"/>
      <c r="P72" s="43"/>
      <c r="Q72" s="44"/>
      <c r="R72" s="44"/>
      <c r="S72" s="44"/>
      <c r="T72" s="44"/>
      <c r="U72" s="44"/>
      <c r="V72" s="44"/>
      <c r="W72" s="44"/>
      <c r="X72" s="44"/>
      <c r="Y72" s="44"/>
      <c r="AB72" s="42"/>
    </row>
    <row r="73" spans="1:28" x14ac:dyDescent="0.25">
      <c r="A73" s="28"/>
      <c r="B73" s="31"/>
      <c r="E73" s="28"/>
      <c r="H73" s="28"/>
      <c r="I73" s="41"/>
      <c r="J73" s="41"/>
      <c r="K73" s="42"/>
      <c r="L73" s="42"/>
      <c r="N73" s="43"/>
      <c r="O73" s="43"/>
      <c r="P73" s="43"/>
      <c r="Q73" s="44"/>
      <c r="R73" s="44"/>
      <c r="S73" s="44"/>
      <c r="T73" s="44"/>
      <c r="U73" s="44"/>
      <c r="V73" s="44"/>
      <c r="W73" s="44"/>
      <c r="X73" s="44"/>
      <c r="Y73" s="44"/>
      <c r="AB73" s="42"/>
    </row>
    <row r="74" spans="1:28" x14ac:dyDescent="0.25">
      <c r="A74" s="28"/>
      <c r="B74" s="31"/>
      <c r="E74" s="28"/>
      <c r="H74" s="28"/>
      <c r="I74" s="41"/>
      <c r="J74" s="41"/>
      <c r="K74" s="42"/>
      <c r="L74" s="42"/>
      <c r="N74" s="43"/>
      <c r="O74" s="43"/>
      <c r="P74" s="43"/>
      <c r="Q74" s="44"/>
      <c r="R74" s="44"/>
      <c r="S74" s="44"/>
      <c r="T74" s="44"/>
      <c r="U74" s="44"/>
      <c r="V74" s="44"/>
      <c r="W74" s="44"/>
      <c r="X74" s="44"/>
      <c r="Y74" s="44"/>
      <c r="AB74" s="42"/>
    </row>
    <row r="75" spans="1:28" x14ac:dyDescent="0.25">
      <c r="A75" s="28"/>
      <c r="B75" s="31"/>
      <c r="E75" s="28"/>
      <c r="H75" s="28"/>
      <c r="I75" s="41"/>
      <c r="J75" s="41"/>
      <c r="K75" s="42"/>
      <c r="L75" s="42"/>
      <c r="N75" s="43"/>
      <c r="O75" s="43"/>
      <c r="P75" s="43"/>
      <c r="Q75" s="44"/>
      <c r="R75" s="44"/>
      <c r="S75" s="44"/>
      <c r="T75" s="44"/>
      <c r="U75" s="44"/>
      <c r="V75" s="44"/>
      <c r="W75" s="44"/>
      <c r="X75" s="44"/>
      <c r="Y75" s="44"/>
      <c r="AB75" s="42"/>
    </row>
    <row r="76" spans="1:28" x14ac:dyDescent="0.25">
      <c r="A76" s="28"/>
      <c r="B76" s="31"/>
      <c r="E76" s="28"/>
      <c r="H76" s="28"/>
      <c r="I76" s="41"/>
      <c r="J76" s="41"/>
      <c r="K76" s="42"/>
      <c r="L76" s="42"/>
      <c r="N76" s="43"/>
      <c r="O76" s="43"/>
      <c r="P76" s="43"/>
      <c r="Q76" s="44"/>
      <c r="R76" s="44"/>
      <c r="S76" s="44"/>
      <c r="T76" s="44"/>
      <c r="U76" s="44"/>
      <c r="V76" s="44"/>
      <c r="W76" s="44"/>
      <c r="X76" s="44"/>
      <c r="Y76" s="44"/>
      <c r="AB76" s="42"/>
    </row>
    <row r="77" spans="1:28" x14ac:dyDescent="0.25">
      <c r="A77" s="28"/>
      <c r="B77" s="31"/>
      <c r="E77" s="28"/>
      <c r="H77" s="28"/>
      <c r="I77" s="41"/>
      <c r="J77" s="41"/>
      <c r="K77" s="42"/>
      <c r="L77" s="42"/>
      <c r="N77" s="43"/>
      <c r="O77" s="43"/>
      <c r="P77" s="43"/>
      <c r="Q77" s="44"/>
      <c r="R77" s="44"/>
      <c r="S77" s="44"/>
      <c r="T77" s="44"/>
      <c r="U77" s="44"/>
      <c r="V77" s="44"/>
      <c r="W77" s="44"/>
      <c r="X77" s="44"/>
      <c r="Y77" s="44"/>
      <c r="AB77" s="42"/>
    </row>
    <row r="78" spans="1:28" x14ac:dyDescent="0.25">
      <c r="A78" s="28"/>
      <c r="B78" s="31"/>
      <c r="E78" s="28"/>
      <c r="H78" s="28"/>
      <c r="I78" s="41"/>
      <c r="J78" s="41"/>
      <c r="K78" s="42"/>
      <c r="L78" s="42"/>
      <c r="N78" s="43"/>
      <c r="O78" s="43"/>
      <c r="P78" s="43"/>
      <c r="Q78" s="44"/>
      <c r="R78" s="44"/>
      <c r="S78" s="44"/>
      <c r="T78" s="44"/>
      <c r="U78" s="44"/>
      <c r="V78" s="44"/>
      <c r="W78" s="44"/>
      <c r="X78" s="44"/>
      <c r="Y78" s="44"/>
      <c r="AB78" s="42"/>
    </row>
    <row r="79" spans="1:28" x14ac:dyDescent="0.25">
      <c r="A79" s="28"/>
      <c r="B79" s="31"/>
      <c r="E79" s="28"/>
      <c r="H79" s="28"/>
      <c r="I79" s="41"/>
      <c r="J79" s="41"/>
      <c r="K79" s="42"/>
      <c r="L79" s="42"/>
      <c r="N79" s="43"/>
      <c r="O79" s="43"/>
      <c r="P79" s="43"/>
      <c r="Q79" s="44"/>
      <c r="R79" s="44"/>
      <c r="S79" s="44"/>
      <c r="T79" s="44"/>
      <c r="U79" s="44"/>
      <c r="V79" s="44"/>
      <c r="W79" s="44"/>
      <c r="X79" s="44"/>
      <c r="Y79" s="44"/>
      <c r="AB79" s="42"/>
    </row>
    <row r="80" spans="1:28" x14ac:dyDescent="0.25">
      <c r="A80" s="28"/>
      <c r="B80" s="31"/>
      <c r="E80" s="28"/>
      <c r="H80" s="28"/>
      <c r="I80" s="41"/>
      <c r="J80" s="41"/>
      <c r="K80" s="42"/>
      <c r="L80" s="42"/>
      <c r="N80" s="43"/>
      <c r="O80" s="43"/>
      <c r="P80" s="43"/>
      <c r="Q80" s="44"/>
      <c r="R80" s="44"/>
      <c r="S80" s="44"/>
      <c r="T80" s="44"/>
      <c r="U80" s="44"/>
      <c r="V80" s="44"/>
      <c r="W80" s="44"/>
      <c r="X80" s="44"/>
      <c r="Y80" s="44"/>
      <c r="AB80" s="42"/>
    </row>
    <row r="81" spans="1:29" x14ac:dyDescent="0.25">
      <c r="A81" s="28"/>
      <c r="B81" s="31"/>
      <c r="E81" s="28"/>
      <c r="H81" s="28"/>
      <c r="I81" s="41"/>
      <c r="J81" s="41"/>
      <c r="K81" s="42"/>
      <c r="L81" s="42"/>
      <c r="N81" s="43"/>
      <c r="O81" s="43"/>
      <c r="P81" s="43"/>
      <c r="Q81" s="44"/>
      <c r="R81" s="44"/>
      <c r="S81" s="44"/>
      <c r="T81" s="44"/>
      <c r="U81" s="44"/>
      <c r="V81" s="44"/>
      <c r="W81" s="44"/>
      <c r="X81" s="44"/>
      <c r="Y81" s="44"/>
      <c r="AB81" s="42"/>
    </row>
    <row r="82" spans="1:29" x14ac:dyDescent="0.25">
      <c r="A82" s="28"/>
      <c r="B82" s="31"/>
      <c r="E82" s="28"/>
      <c r="H82" s="28"/>
      <c r="I82" s="41"/>
      <c r="J82" s="41"/>
      <c r="K82" s="42"/>
      <c r="L82" s="42"/>
      <c r="N82" s="43"/>
      <c r="O82" s="43"/>
      <c r="P82" s="43"/>
      <c r="Q82" s="44"/>
      <c r="R82" s="44"/>
      <c r="S82" s="44"/>
      <c r="T82" s="44"/>
      <c r="U82" s="44"/>
      <c r="V82" s="44"/>
      <c r="W82" s="44"/>
      <c r="X82" s="44"/>
      <c r="Y82" s="44"/>
      <c r="AB82" s="42"/>
    </row>
    <row r="83" spans="1:29" x14ac:dyDescent="0.25">
      <c r="A83" s="28"/>
      <c r="B83" s="31"/>
      <c r="E83" s="28"/>
      <c r="H83" s="28"/>
      <c r="I83" s="41"/>
      <c r="J83" s="41"/>
      <c r="K83" s="42"/>
      <c r="L83" s="42"/>
      <c r="N83" s="43"/>
      <c r="O83" s="43"/>
      <c r="P83" s="43"/>
      <c r="Q83" s="44"/>
      <c r="R83" s="44"/>
      <c r="S83" s="44"/>
      <c r="T83" s="44"/>
      <c r="U83" s="44"/>
      <c r="V83" s="44"/>
      <c r="W83" s="44"/>
      <c r="X83" s="44"/>
      <c r="Y83" s="44"/>
      <c r="AB83" s="42"/>
      <c r="AC83" s="28"/>
    </row>
    <row r="84" spans="1:29" x14ac:dyDescent="0.25">
      <c r="A84" s="28"/>
      <c r="B84" s="31"/>
      <c r="E84" s="28"/>
      <c r="H84" s="28"/>
      <c r="I84" s="41"/>
      <c r="J84" s="41"/>
      <c r="K84" s="42"/>
      <c r="L84" s="42"/>
      <c r="N84" s="43"/>
      <c r="O84" s="43"/>
      <c r="P84" s="43"/>
      <c r="Q84" s="44"/>
      <c r="R84" s="44"/>
      <c r="S84" s="44"/>
      <c r="T84" s="44"/>
      <c r="U84" s="44"/>
      <c r="V84" s="44"/>
      <c r="W84" s="44"/>
      <c r="X84" s="44"/>
      <c r="Y84" s="44"/>
      <c r="AB84" s="42"/>
      <c r="AC84" s="28"/>
    </row>
  </sheetData>
  <sheetProtection password="D2EF" sheet="1" objects="1" scenarios="1" formatColumns="0" autoFilter="0"/>
  <dataConsolidate/>
  <dataValidations count="15">
    <dataValidation type="whole" allowBlank="1" showInputMessage="1" showErrorMessage="1" errorTitle="Erro" error="O ano deve estar entre 2015 e 2025_x000a_" sqref="A1:A1048576" xr:uid="{00000000-0002-0000-0100-000000000000}">
      <formula1>2015</formula1>
      <formula2>2025</formula2>
    </dataValidation>
    <dataValidation type="whole" allowBlank="1" showInputMessage="1" showErrorMessage="1" errorTitle="Erro" error="O número de meses deve estar entre 1 e 12_x000a_" sqref="B1:B1048576" xr:uid="{00000000-0002-0000-0100-000001000000}">
      <formula1>1</formula1>
      <formula2>12</formula2>
    </dataValidation>
    <dataValidation type="whole" allowBlank="1" showInputMessage="1" showErrorMessage="1" errorTitle="Erro" error="Conforme instruções o sentido deve ser 1, 2 ou 3._x000a_" sqref="H1:H1048576" xr:uid="{00000000-0002-0000-0100-000002000000}">
      <formula1>1</formula1>
      <formula2>3</formula2>
    </dataValidation>
    <dataValidation type="whole" operator="notEqual" allowBlank="1" showInputMessage="1" showErrorMessage="1" errorTitle="Erro" error="Conforme Instruções a frota operante deve ser um número inteiro diferente de 0_x000a__x000a_" sqref="AC1:AC1048576" xr:uid="{00000000-0002-0000-0100-000003000000}">
      <formula1>0</formula1>
    </dataValidation>
    <dataValidation type="whole" allowBlank="1" showInputMessage="1" showErrorMessage="1" errorTitle="Erro" error="Conforme instruções, o número deve ser inteiro._x000a_" sqref="Q1:Y1048576" xr:uid="{00000000-0002-0000-0100-000004000000}">
      <formula1>0</formula1>
      <formula2>30000</formula2>
    </dataValidation>
    <dataValidation type="decimal" operator="greaterThan" allowBlank="1" showInputMessage="1" showErrorMessage="1" errorTitle="Erro" error="Conforme instruções os valores devem ter duas casas decimais." sqref="K1:K1048576" xr:uid="{00000000-0002-0000-0100-000005000000}">
      <formula1>0</formula1>
    </dataValidation>
    <dataValidation type="decimal" operator="greaterThan" allowBlank="1" showInputMessage="1" showErrorMessage="1" errorTitle="Erro" error="Conforme instruções a informação deve ter duas casas decimais._x000a_" sqref="L1:L1048576" xr:uid="{00000000-0002-0000-0100-000006000000}">
      <formula1>0</formula1>
    </dataValidation>
    <dataValidation type="decimal" operator="greaterThan" allowBlank="1" showInputMessage="1" showErrorMessage="1" errorTitle="Erro" error="Conforme instruções, o campo deve conter três casas decimais." sqref="I1:I1048576" xr:uid="{00000000-0002-0000-0100-000007000000}">
      <formula1>0</formula1>
    </dataValidation>
    <dataValidation type="decimal" operator="greaterThan" allowBlank="1" showInputMessage="1" showErrorMessage="1" errorTitle="Erro" error="Conforme instruções, o campo deve ter três casas decimais._x000a_" sqref="J1:J1048576" xr:uid="{00000000-0002-0000-0100-000008000000}">
      <formula1>0</formula1>
    </dataValidation>
    <dataValidation type="decimal" operator="greaterThanOrEqual" allowBlank="1" showInputMessage="1" showErrorMessage="1" errorTitle="Erro" error="Conforme instruções, o campo deve conter duas casas decimais._x000a_" sqref="M1:M1048576" xr:uid="{00000000-0002-0000-0100-000009000000}">
      <formula1>0</formula1>
    </dataValidation>
    <dataValidation type="decimal" operator="greaterThanOrEqual" allowBlank="1" showInputMessage="1" showErrorMessage="1" errorTitle="Erro" error="Conforme instruções, o campo deve ter no máximo duas casas decimais._x000a_" sqref="Z1:Z1048576" xr:uid="{00000000-0002-0000-0100-00000A000000}">
      <formula1>0</formula1>
    </dataValidation>
    <dataValidation type="decimal" operator="greaterThanOrEqual" allowBlank="1" showInputMessage="1" showErrorMessage="1" errorTitle="Erro" error="Conforme instruções, o campo deve ter no máximo duas casas decimais." sqref="AA1:AA1048576" xr:uid="{00000000-0002-0000-0100-00000B000000}">
      <formula1>0</formula1>
    </dataValidation>
    <dataValidation type="decimal" operator="greaterThanOrEqual" allowBlank="1" showInputMessage="1" showErrorMessage="1" errorTitle="Erro" error="Conforme instruções, o campo deve conter no máximo duas casas decimais._x000a_" sqref="AB1:AB1048576" xr:uid="{00000000-0002-0000-0100-00000C000000}">
      <formula1>0</formula1>
    </dataValidation>
    <dataValidation type="whole" allowBlank="1" showInputMessage="1" showErrorMessage="1" errorTitle="Erro" error="Conforme instruções, o campo deve ser preenchido por um número inteiro representando o somatório da extensão classe A(pavimentada) e da  B(Não pavimentada) multiplicada as viagens  simples ou viagens expressas ou deslocamento" sqref="N1:P1048576" xr:uid="{00000000-0002-0000-0100-00000D000000}">
      <formula1>0</formula1>
      <formula2>100000</formula2>
    </dataValidation>
    <dataValidation type="whole" showDropDown="1" showInputMessage="1" showErrorMessage="1" errorTitle="Erro" error="Conforme instruções o Ramal deve ser um número entre 0 e 99._x000a_" sqref="E1:E1048576" xr:uid="{00000000-0002-0000-0100-00000E000000}">
      <formula1>0</formula1>
      <formula2>99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DropDown="1" showInputMessage="1" showErrorMessage="1" errorTitle="Erro" error="O Código da Empresa deve ser igual ao informado na identificação._x000a_" xr:uid="{00000000-0002-0000-0100-00000F000000}">
          <x14:formula1>
            <xm:f>Identificação!$E$2:$E$3</xm:f>
          </x14:formula1>
          <xm:sqref>C1:C1048576</xm:sqref>
        </x14:dataValidation>
        <x14:dataValidation type="list" showDropDown="1" showInputMessage="1" showErrorMessage="1" errorTitle="Erro" error="Conforme instruções o tipo de serviço deve ser C- Comum; S- Semi Direto; D- Direto; E- Executivo; L - Seletivo; R- Rota; A-Alimentadora; T- Integração com o trem; O- Integração com o ônibus._x000a_" xr:uid="{00000000-0002-0000-0100-000010000000}">
          <x14:formula1>
            <xm:f>Identificação!$G$15:$G$22</xm:f>
          </x14:formula1>
          <xm:sqref>G1:G1048576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32"/>
  <sheetViews>
    <sheetView workbookViewId="0">
      <selection activeCell="E12" sqref="E12"/>
    </sheetView>
  </sheetViews>
  <sheetFormatPr defaultRowHeight="15" x14ac:dyDescent="0.25"/>
  <cols>
    <col min="2" max="2" width="17.28515625" bestFit="1" customWidth="1"/>
    <col min="3" max="3" width="22.7109375" customWidth="1"/>
    <col min="4" max="4" width="33.85546875" customWidth="1"/>
  </cols>
  <sheetData>
    <row r="1" spans="2:4" x14ac:dyDescent="0.25">
      <c r="B1" t="s">
        <v>102</v>
      </c>
    </row>
    <row r="3" spans="2:4" x14ac:dyDescent="0.25">
      <c r="B3" s="1" t="s">
        <v>30</v>
      </c>
      <c r="C3" s="1" t="s">
        <v>31</v>
      </c>
      <c r="D3" s="2" t="s">
        <v>48</v>
      </c>
    </row>
    <row r="4" spans="2:4" ht="24" x14ac:dyDescent="0.25">
      <c r="B4" s="1" t="s">
        <v>32</v>
      </c>
      <c r="C4" s="1" t="s">
        <v>49</v>
      </c>
      <c r="D4" s="1" t="s">
        <v>50</v>
      </c>
    </row>
    <row r="5" spans="2:4" ht="25.5" x14ac:dyDescent="0.25">
      <c r="B5" s="1" t="s">
        <v>103</v>
      </c>
      <c r="C5" s="1" t="s">
        <v>51</v>
      </c>
      <c r="D5" s="2" t="s">
        <v>52</v>
      </c>
    </row>
    <row r="6" spans="2:4" ht="36" x14ac:dyDescent="0.25">
      <c r="B6" s="1" t="s">
        <v>1</v>
      </c>
      <c r="C6" s="1" t="s">
        <v>53</v>
      </c>
      <c r="D6" s="1" t="s">
        <v>54</v>
      </c>
    </row>
    <row r="7" spans="2:4" ht="36" x14ac:dyDescent="0.25">
      <c r="B7" s="1" t="s">
        <v>33</v>
      </c>
      <c r="C7" s="1" t="s">
        <v>55</v>
      </c>
      <c r="D7" s="1" t="s">
        <v>56</v>
      </c>
    </row>
    <row r="8" spans="2:4" ht="36" x14ac:dyDescent="0.25">
      <c r="B8" s="1" t="s">
        <v>34</v>
      </c>
      <c r="C8" s="1" t="s">
        <v>62</v>
      </c>
      <c r="D8" s="1" t="s">
        <v>35</v>
      </c>
    </row>
    <row r="9" spans="2:4" ht="36" x14ac:dyDescent="0.25">
      <c r="B9" s="1" t="s">
        <v>36</v>
      </c>
      <c r="C9" s="1" t="s">
        <v>57</v>
      </c>
      <c r="D9" s="1" t="s">
        <v>58</v>
      </c>
    </row>
    <row r="10" spans="2:4" ht="48" x14ac:dyDescent="0.25">
      <c r="B10" s="1" t="s">
        <v>61</v>
      </c>
      <c r="C10" s="1" t="s">
        <v>59</v>
      </c>
      <c r="D10" s="3" t="s">
        <v>261</v>
      </c>
    </row>
    <row r="11" spans="2:4" ht="36" x14ac:dyDescent="0.25">
      <c r="B11" s="1" t="s">
        <v>37</v>
      </c>
      <c r="C11" s="1" t="s">
        <v>60</v>
      </c>
      <c r="D11" s="4" t="s">
        <v>262</v>
      </c>
    </row>
    <row r="12" spans="2:4" ht="60" x14ac:dyDescent="0.25">
      <c r="B12" s="2" t="s">
        <v>38</v>
      </c>
      <c r="C12" s="1" t="s">
        <v>63</v>
      </c>
      <c r="D12" s="1" t="s">
        <v>65</v>
      </c>
    </row>
    <row r="13" spans="2:4" ht="52.5" x14ac:dyDescent="0.25">
      <c r="B13" s="2" t="s">
        <v>39</v>
      </c>
      <c r="C13" s="5" t="s">
        <v>64</v>
      </c>
      <c r="D13" s="2" t="s">
        <v>66</v>
      </c>
    </row>
    <row r="14" spans="2:4" ht="63.75" x14ac:dyDescent="0.25">
      <c r="B14" s="6" t="s">
        <v>67</v>
      </c>
      <c r="C14" s="5" t="s">
        <v>68</v>
      </c>
      <c r="D14" s="7" t="s">
        <v>100</v>
      </c>
    </row>
    <row r="15" spans="2:4" ht="36" x14ac:dyDescent="0.25">
      <c r="B15" s="6" t="s">
        <v>40</v>
      </c>
      <c r="C15" s="6" t="s">
        <v>41</v>
      </c>
      <c r="D15" s="8" t="s">
        <v>69</v>
      </c>
    </row>
    <row r="16" spans="2:4" ht="38.25" x14ac:dyDescent="0.25">
      <c r="B16" s="6" t="s">
        <v>70</v>
      </c>
      <c r="C16" s="6" t="s">
        <v>71</v>
      </c>
      <c r="D16" s="2" t="s">
        <v>72</v>
      </c>
    </row>
    <row r="17" spans="2:4" ht="51" x14ac:dyDescent="0.25">
      <c r="B17" s="6" t="s">
        <v>73</v>
      </c>
      <c r="C17" s="9" t="s">
        <v>76</v>
      </c>
      <c r="D17" s="9" t="s">
        <v>75</v>
      </c>
    </row>
    <row r="18" spans="2:4" ht="51" x14ac:dyDescent="0.25">
      <c r="B18" s="6" t="s">
        <v>77</v>
      </c>
      <c r="C18" s="9" t="s">
        <v>74</v>
      </c>
      <c r="D18" s="9" t="s">
        <v>75</v>
      </c>
    </row>
    <row r="19" spans="2:4" ht="51" x14ac:dyDescent="0.25">
      <c r="B19" s="6" t="s">
        <v>78</v>
      </c>
      <c r="C19" s="10" t="s">
        <v>79</v>
      </c>
      <c r="D19" s="9" t="s">
        <v>75</v>
      </c>
    </row>
    <row r="20" spans="2:4" ht="76.5" x14ac:dyDescent="0.25">
      <c r="B20" s="11" t="s">
        <v>42</v>
      </c>
      <c r="C20" s="6" t="s">
        <v>80</v>
      </c>
      <c r="D20" s="9" t="s">
        <v>75</v>
      </c>
    </row>
    <row r="21" spans="2:4" ht="63.75" x14ac:dyDescent="0.25">
      <c r="B21" s="12" t="s">
        <v>43</v>
      </c>
      <c r="C21" s="6" t="s">
        <v>81</v>
      </c>
      <c r="D21" s="9" t="s">
        <v>75</v>
      </c>
    </row>
    <row r="22" spans="2:4" ht="63.75" x14ac:dyDescent="0.25">
      <c r="B22" s="12" t="s">
        <v>82</v>
      </c>
      <c r="C22" s="2" t="s">
        <v>83</v>
      </c>
      <c r="D22" s="9" t="s">
        <v>75</v>
      </c>
    </row>
    <row r="23" spans="2:4" ht="37.5" x14ac:dyDescent="0.25">
      <c r="B23" s="6" t="s">
        <v>44</v>
      </c>
      <c r="C23" s="5" t="s">
        <v>84</v>
      </c>
      <c r="D23" s="9" t="s">
        <v>75</v>
      </c>
    </row>
    <row r="24" spans="2:4" ht="51" x14ac:dyDescent="0.25">
      <c r="B24" s="6" t="s">
        <v>45</v>
      </c>
      <c r="C24" s="5" t="s">
        <v>85</v>
      </c>
      <c r="D24" s="9" t="s">
        <v>75</v>
      </c>
    </row>
    <row r="25" spans="2:4" ht="51" x14ac:dyDescent="0.25">
      <c r="B25" s="6" t="s">
        <v>46</v>
      </c>
      <c r="C25" s="5" t="s">
        <v>86</v>
      </c>
      <c r="D25" s="9" t="s">
        <v>75</v>
      </c>
    </row>
    <row r="26" spans="2:4" ht="38.25" x14ac:dyDescent="0.25">
      <c r="B26" s="2" t="s">
        <v>47</v>
      </c>
      <c r="C26" s="13" t="s">
        <v>87</v>
      </c>
      <c r="D26" s="9" t="s">
        <v>75</v>
      </c>
    </row>
    <row r="27" spans="2:4" ht="63.75" x14ac:dyDescent="0.25">
      <c r="B27" s="11" t="s">
        <v>88</v>
      </c>
      <c r="C27" s="2" t="s">
        <v>89</v>
      </c>
      <c r="D27" s="9" t="s">
        <v>75</v>
      </c>
    </row>
    <row r="28" spans="2:4" ht="63.75" x14ac:dyDescent="0.25">
      <c r="B28" s="6" t="s">
        <v>90</v>
      </c>
      <c r="C28" s="2" t="s">
        <v>91</v>
      </c>
      <c r="D28" s="9" t="s">
        <v>75</v>
      </c>
    </row>
    <row r="29" spans="2:4" ht="38.25" x14ac:dyDescent="0.25">
      <c r="B29" s="6" t="s">
        <v>92</v>
      </c>
      <c r="C29" s="2" t="s">
        <v>96</v>
      </c>
      <c r="D29" s="7" t="s">
        <v>100</v>
      </c>
    </row>
    <row r="30" spans="2:4" ht="38.25" x14ac:dyDescent="0.25">
      <c r="B30" s="6" t="s">
        <v>93</v>
      </c>
      <c r="C30" s="2" t="s">
        <v>97</v>
      </c>
      <c r="D30" s="7" t="s">
        <v>100</v>
      </c>
    </row>
    <row r="31" spans="2:4" ht="51" x14ac:dyDescent="0.25">
      <c r="B31" s="6" t="s">
        <v>94</v>
      </c>
      <c r="C31" s="2" t="s">
        <v>98</v>
      </c>
      <c r="D31" s="7" t="s">
        <v>100</v>
      </c>
    </row>
    <row r="32" spans="2:4" ht="25.5" x14ac:dyDescent="0.25">
      <c r="B32" s="6" t="s">
        <v>95</v>
      </c>
      <c r="C32" s="2" t="s">
        <v>99</v>
      </c>
      <c r="D32" s="7" t="s">
        <v>101</v>
      </c>
    </row>
  </sheetData>
  <sheetProtection password="D2EF" sheet="1" objects="1" scenarios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2"/>
  <sheetViews>
    <sheetView workbookViewId="0">
      <selection activeCell="H3" sqref="H3"/>
    </sheetView>
  </sheetViews>
  <sheetFormatPr defaultRowHeight="15" x14ac:dyDescent="0.25"/>
  <cols>
    <col min="1" max="1" width="64.140625" bestFit="1" customWidth="1"/>
    <col min="2" max="2" width="45" bestFit="1" customWidth="1"/>
    <col min="3" max="3" width="18" bestFit="1" customWidth="1"/>
    <col min="4" max="5" width="19.7109375" bestFit="1" customWidth="1"/>
    <col min="7" max="8" width="12.85546875" bestFit="1" customWidth="1"/>
  </cols>
  <sheetData>
    <row r="1" spans="1:10" x14ac:dyDescent="0.25">
      <c r="A1" t="s">
        <v>104</v>
      </c>
      <c r="B1" t="s">
        <v>106</v>
      </c>
      <c r="C1" t="s">
        <v>1</v>
      </c>
      <c r="D1" t="s">
        <v>105</v>
      </c>
      <c r="E1" t="s">
        <v>260</v>
      </c>
      <c r="G1" t="s">
        <v>252</v>
      </c>
      <c r="H1" t="s">
        <v>0</v>
      </c>
      <c r="I1" t="s">
        <v>254</v>
      </c>
      <c r="J1" t="s">
        <v>2</v>
      </c>
    </row>
    <row r="2" spans="1:10" x14ac:dyDescent="0.25">
      <c r="A2" s="15" t="s">
        <v>250</v>
      </c>
      <c r="B2" s="15" t="s">
        <v>250</v>
      </c>
      <c r="C2" s="15" t="s">
        <v>250</v>
      </c>
      <c r="D2" s="15" t="s">
        <v>311</v>
      </c>
      <c r="E2" t="str">
        <f>'Identificação da Empresa'!F11</f>
        <v>GU99</v>
      </c>
      <c r="G2" s="15" t="s">
        <v>311</v>
      </c>
      <c r="H2" s="15" t="s">
        <v>311</v>
      </c>
      <c r="I2" t="s">
        <v>257</v>
      </c>
      <c r="J2">
        <v>1</v>
      </c>
    </row>
    <row r="3" spans="1:10" x14ac:dyDescent="0.25">
      <c r="A3" t="s">
        <v>107</v>
      </c>
      <c r="B3" t="s">
        <v>107</v>
      </c>
      <c r="C3" t="s">
        <v>108</v>
      </c>
      <c r="E3" t="e">
        <f>'Identificação da Empresa'!#REF!</f>
        <v>#REF!</v>
      </c>
      <c r="G3">
        <v>1</v>
      </c>
      <c r="H3">
        <v>2015</v>
      </c>
      <c r="I3" t="s">
        <v>255</v>
      </c>
      <c r="J3">
        <v>2</v>
      </c>
    </row>
    <row r="4" spans="1:10" x14ac:dyDescent="0.25">
      <c r="A4" t="s">
        <v>232</v>
      </c>
      <c r="B4" t="s">
        <v>109</v>
      </c>
      <c r="C4" t="s">
        <v>110</v>
      </c>
      <c r="D4" s="14" t="s">
        <v>271</v>
      </c>
      <c r="G4">
        <v>2</v>
      </c>
      <c r="H4">
        <v>2016</v>
      </c>
      <c r="I4" t="s">
        <v>256</v>
      </c>
      <c r="J4">
        <v>3</v>
      </c>
    </row>
    <row r="5" spans="1:10" x14ac:dyDescent="0.25">
      <c r="A5" t="s">
        <v>233</v>
      </c>
      <c r="B5" t="s">
        <v>111</v>
      </c>
      <c r="C5" t="s">
        <v>112</v>
      </c>
      <c r="D5" s="14" t="s">
        <v>272</v>
      </c>
      <c r="G5">
        <v>3</v>
      </c>
      <c r="H5">
        <v>2017</v>
      </c>
      <c r="I5" t="s">
        <v>258</v>
      </c>
      <c r="J5">
        <v>4</v>
      </c>
    </row>
    <row r="6" spans="1:10" x14ac:dyDescent="0.25">
      <c r="A6" t="s">
        <v>113</v>
      </c>
      <c r="B6" t="s">
        <v>114</v>
      </c>
      <c r="C6" t="s">
        <v>115</v>
      </c>
      <c r="D6" s="14" t="s">
        <v>273</v>
      </c>
      <c r="G6">
        <v>4</v>
      </c>
      <c r="H6">
        <v>2018</v>
      </c>
      <c r="J6">
        <v>5</v>
      </c>
    </row>
    <row r="7" spans="1:10" x14ac:dyDescent="0.25">
      <c r="A7" t="s">
        <v>116</v>
      </c>
      <c r="B7" t="s">
        <v>117</v>
      </c>
      <c r="C7" t="s">
        <v>118</v>
      </c>
      <c r="D7" s="14" t="s">
        <v>274</v>
      </c>
      <c r="G7">
        <v>5</v>
      </c>
      <c r="H7">
        <v>2019</v>
      </c>
      <c r="J7">
        <v>6</v>
      </c>
    </row>
    <row r="8" spans="1:10" x14ac:dyDescent="0.25">
      <c r="A8" t="s">
        <v>119</v>
      </c>
      <c r="B8" t="s">
        <v>120</v>
      </c>
      <c r="C8" t="s">
        <v>121</v>
      </c>
      <c r="D8" s="14" t="s">
        <v>275</v>
      </c>
      <c r="G8">
        <v>6</v>
      </c>
      <c r="H8">
        <v>2020</v>
      </c>
      <c r="J8">
        <v>7</v>
      </c>
    </row>
    <row r="9" spans="1:10" x14ac:dyDescent="0.25">
      <c r="A9" t="s">
        <v>122</v>
      </c>
      <c r="B9" t="s">
        <v>123</v>
      </c>
      <c r="C9" t="s">
        <v>124</v>
      </c>
      <c r="D9" s="14" t="s">
        <v>276</v>
      </c>
      <c r="G9">
        <v>7</v>
      </c>
      <c r="H9">
        <v>2021</v>
      </c>
      <c r="J9">
        <v>8</v>
      </c>
    </row>
    <row r="10" spans="1:10" x14ac:dyDescent="0.25">
      <c r="A10" t="s">
        <v>125</v>
      </c>
      <c r="B10" t="s">
        <v>126</v>
      </c>
      <c r="C10" t="s">
        <v>127</v>
      </c>
      <c r="D10" s="14" t="s">
        <v>277</v>
      </c>
      <c r="G10">
        <v>8</v>
      </c>
      <c r="H10">
        <v>2022</v>
      </c>
      <c r="J10">
        <v>9</v>
      </c>
    </row>
    <row r="11" spans="1:10" x14ac:dyDescent="0.25">
      <c r="A11" t="s">
        <v>246</v>
      </c>
      <c r="B11" t="s">
        <v>128</v>
      </c>
      <c r="C11" t="s">
        <v>129</v>
      </c>
      <c r="D11" s="14" t="s">
        <v>277</v>
      </c>
      <c r="G11">
        <v>9</v>
      </c>
      <c r="H11">
        <v>2023</v>
      </c>
    </row>
    <row r="12" spans="1:10" x14ac:dyDescent="0.25">
      <c r="A12" t="s">
        <v>130</v>
      </c>
      <c r="B12" t="s">
        <v>131</v>
      </c>
      <c r="C12" t="s">
        <v>132</v>
      </c>
      <c r="D12" s="14" t="s">
        <v>278</v>
      </c>
      <c r="G12">
        <v>10</v>
      </c>
      <c r="H12">
        <v>2024</v>
      </c>
    </row>
    <row r="13" spans="1:10" x14ac:dyDescent="0.25">
      <c r="A13" t="s">
        <v>133</v>
      </c>
      <c r="B13" t="s">
        <v>134</v>
      </c>
      <c r="C13" t="s">
        <v>135</v>
      </c>
      <c r="D13" s="14" t="s">
        <v>279</v>
      </c>
      <c r="G13">
        <v>11</v>
      </c>
      <c r="H13">
        <v>2025</v>
      </c>
    </row>
    <row r="14" spans="1:10" x14ac:dyDescent="0.25">
      <c r="A14" t="s">
        <v>136</v>
      </c>
      <c r="B14" t="s">
        <v>137</v>
      </c>
      <c r="C14" t="s">
        <v>138</v>
      </c>
      <c r="D14" s="14" t="s">
        <v>280</v>
      </c>
      <c r="G14">
        <v>12</v>
      </c>
      <c r="H14">
        <v>2026</v>
      </c>
    </row>
    <row r="15" spans="1:10" ht="15.75" thickBot="1" x14ac:dyDescent="0.3">
      <c r="A15" t="s">
        <v>139</v>
      </c>
      <c r="B15" t="s">
        <v>139</v>
      </c>
      <c r="C15" t="s">
        <v>140</v>
      </c>
      <c r="G15" t="s">
        <v>263</v>
      </c>
      <c r="H15">
        <v>2027</v>
      </c>
    </row>
    <row r="16" spans="1:10" x14ac:dyDescent="0.25">
      <c r="A16" t="s">
        <v>141</v>
      </c>
      <c r="B16" t="s">
        <v>142</v>
      </c>
      <c r="C16" t="s">
        <v>143</v>
      </c>
      <c r="D16" s="18" t="s">
        <v>281</v>
      </c>
      <c r="G16" t="s">
        <v>264</v>
      </c>
      <c r="H16">
        <v>2028</v>
      </c>
    </row>
    <row r="17" spans="1:8" x14ac:dyDescent="0.25">
      <c r="A17" t="s">
        <v>144</v>
      </c>
      <c r="B17" t="s">
        <v>145</v>
      </c>
      <c r="C17" t="s">
        <v>146</v>
      </c>
      <c r="D17" s="14" t="s">
        <v>282</v>
      </c>
      <c r="G17" t="s">
        <v>265</v>
      </c>
      <c r="H17">
        <v>2029</v>
      </c>
    </row>
    <row r="18" spans="1:8" x14ac:dyDescent="0.25">
      <c r="A18" t="s">
        <v>234</v>
      </c>
      <c r="B18" t="s">
        <v>147</v>
      </c>
      <c r="C18" t="s">
        <v>148</v>
      </c>
      <c r="D18" s="14" t="s">
        <v>283</v>
      </c>
      <c r="G18" t="s">
        <v>266</v>
      </c>
      <c r="H18">
        <v>2030</v>
      </c>
    </row>
    <row r="19" spans="1:8" x14ac:dyDescent="0.25">
      <c r="A19" t="s">
        <v>235</v>
      </c>
      <c r="B19" t="s">
        <v>149</v>
      </c>
      <c r="C19" t="s">
        <v>150</v>
      </c>
      <c r="D19" s="14" t="s">
        <v>284</v>
      </c>
      <c r="G19" t="s">
        <v>267</v>
      </c>
      <c r="H19">
        <v>1</v>
      </c>
    </row>
    <row r="20" spans="1:8" x14ac:dyDescent="0.25">
      <c r="A20" t="s">
        <v>151</v>
      </c>
      <c r="B20" t="s">
        <v>152</v>
      </c>
      <c r="C20" t="s">
        <v>153</v>
      </c>
      <c r="D20" s="14" t="s">
        <v>285</v>
      </c>
      <c r="G20" t="s">
        <v>268</v>
      </c>
      <c r="H20">
        <v>2</v>
      </c>
    </row>
    <row r="21" spans="1:8" x14ac:dyDescent="0.25">
      <c r="A21" t="s">
        <v>154</v>
      </c>
      <c r="B21" t="s">
        <v>155</v>
      </c>
      <c r="C21" t="s">
        <v>156</v>
      </c>
      <c r="G21" t="s">
        <v>269</v>
      </c>
    </row>
    <row r="22" spans="1:8" ht="15.75" thickBot="1" x14ac:dyDescent="0.3">
      <c r="A22" t="s">
        <v>236</v>
      </c>
      <c r="B22" t="s">
        <v>157</v>
      </c>
      <c r="C22" t="s">
        <v>158</v>
      </c>
      <c r="D22" s="14" t="s">
        <v>286</v>
      </c>
      <c r="G22" t="s">
        <v>270</v>
      </c>
    </row>
    <row r="23" spans="1:8" x14ac:dyDescent="0.25">
      <c r="A23" t="s">
        <v>159</v>
      </c>
      <c r="B23" t="s">
        <v>160</v>
      </c>
      <c r="C23" t="s">
        <v>161</v>
      </c>
      <c r="D23" s="18" t="s">
        <v>287</v>
      </c>
    </row>
    <row r="24" spans="1:8" x14ac:dyDescent="0.25">
      <c r="A24" t="s">
        <v>238</v>
      </c>
      <c r="B24" t="s">
        <v>162</v>
      </c>
      <c r="C24" t="s">
        <v>163</v>
      </c>
      <c r="D24" s="14" t="s">
        <v>308</v>
      </c>
    </row>
    <row r="25" spans="1:8" x14ac:dyDescent="0.25">
      <c r="A25" t="s">
        <v>237</v>
      </c>
      <c r="B25" t="s">
        <v>164</v>
      </c>
      <c r="C25" t="s">
        <v>165</v>
      </c>
      <c r="D25" s="14" t="s">
        <v>288</v>
      </c>
    </row>
    <row r="26" spans="1:8" x14ac:dyDescent="0.25">
      <c r="A26" t="s">
        <v>166</v>
      </c>
      <c r="B26" t="s">
        <v>167</v>
      </c>
      <c r="C26" t="s">
        <v>168</v>
      </c>
      <c r="D26" s="14" t="s">
        <v>289</v>
      </c>
    </row>
    <row r="27" spans="1:8" x14ac:dyDescent="0.25">
      <c r="A27" t="s">
        <v>169</v>
      </c>
      <c r="B27" t="s">
        <v>170</v>
      </c>
      <c r="C27" t="s">
        <v>171</v>
      </c>
      <c r="D27" s="14" t="s">
        <v>290</v>
      </c>
    </row>
    <row r="28" spans="1:8" x14ac:dyDescent="0.25">
      <c r="A28" t="s">
        <v>239</v>
      </c>
      <c r="B28" t="s">
        <v>172</v>
      </c>
      <c r="C28" t="s">
        <v>173</v>
      </c>
      <c r="D28" s="14" t="s">
        <v>291</v>
      </c>
    </row>
    <row r="29" spans="1:8" ht="15.75" thickBot="1" x14ac:dyDescent="0.3">
      <c r="A29" t="s">
        <v>174</v>
      </c>
      <c r="B29" t="s">
        <v>175</v>
      </c>
      <c r="C29" t="s">
        <v>176</v>
      </c>
      <c r="D29" s="14" t="s">
        <v>292</v>
      </c>
    </row>
    <row r="30" spans="1:8" x14ac:dyDescent="0.25">
      <c r="A30" t="s">
        <v>177</v>
      </c>
      <c r="B30" t="s">
        <v>178</v>
      </c>
      <c r="C30" t="s">
        <v>179</v>
      </c>
      <c r="D30" s="19" t="s">
        <v>293</v>
      </c>
    </row>
    <row r="31" spans="1:8" x14ac:dyDescent="0.25">
      <c r="A31" t="s">
        <v>180</v>
      </c>
      <c r="B31" t="s">
        <v>181</v>
      </c>
      <c r="C31" t="s">
        <v>182</v>
      </c>
      <c r="D31" s="14" t="s">
        <v>294</v>
      </c>
    </row>
    <row r="32" spans="1:8" ht="15.75" thickBot="1" x14ac:dyDescent="0.3">
      <c r="A32" t="s">
        <v>247</v>
      </c>
      <c r="B32" t="s">
        <v>183</v>
      </c>
      <c r="C32" t="s">
        <v>184</v>
      </c>
      <c r="D32" s="14" t="s">
        <v>294</v>
      </c>
    </row>
    <row r="33" spans="1:4" x14ac:dyDescent="0.25">
      <c r="A33" t="s">
        <v>185</v>
      </c>
      <c r="B33" t="s">
        <v>186</v>
      </c>
      <c r="C33" t="s">
        <v>187</v>
      </c>
      <c r="D33" s="18" t="s">
        <v>295</v>
      </c>
    </row>
    <row r="34" spans="1:4" ht="15.75" thickBot="1" x14ac:dyDescent="0.3">
      <c r="A34" t="s">
        <v>240</v>
      </c>
      <c r="B34" t="s">
        <v>188</v>
      </c>
      <c r="C34" t="s">
        <v>189</v>
      </c>
      <c r="D34" s="14" t="s">
        <v>296</v>
      </c>
    </row>
    <row r="35" spans="1:4" x14ac:dyDescent="0.25">
      <c r="A35" t="s">
        <v>241</v>
      </c>
      <c r="B35" t="s">
        <v>190</v>
      </c>
      <c r="C35" t="s">
        <v>191</v>
      </c>
      <c r="D35" s="18" t="s">
        <v>297</v>
      </c>
    </row>
    <row r="36" spans="1:4" x14ac:dyDescent="0.25">
      <c r="A36" t="s">
        <v>242</v>
      </c>
      <c r="B36" t="s">
        <v>192</v>
      </c>
      <c r="C36" t="s">
        <v>193</v>
      </c>
    </row>
    <row r="37" spans="1:4" ht="15.75" thickBot="1" x14ac:dyDescent="0.3">
      <c r="A37" t="s">
        <v>243</v>
      </c>
      <c r="B37" t="s">
        <v>194</v>
      </c>
      <c r="C37" t="s">
        <v>195</v>
      </c>
      <c r="D37" s="14" t="s">
        <v>298</v>
      </c>
    </row>
    <row r="38" spans="1:4" x14ac:dyDescent="0.25">
      <c r="A38" t="s">
        <v>244</v>
      </c>
      <c r="B38" t="s">
        <v>196</v>
      </c>
      <c r="C38" t="s">
        <v>197</v>
      </c>
      <c r="D38" s="18" t="s">
        <v>299</v>
      </c>
    </row>
    <row r="39" spans="1:4" x14ac:dyDescent="0.25">
      <c r="A39" t="s">
        <v>198</v>
      </c>
      <c r="B39" t="s">
        <v>199</v>
      </c>
      <c r="C39" t="s">
        <v>200</v>
      </c>
      <c r="D39" s="14"/>
    </row>
    <row r="40" spans="1:4" x14ac:dyDescent="0.25">
      <c r="A40" t="s">
        <v>201</v>
      </c>
      <c r="B40" t="s">
        <v>202</v>
      </c>
      <c r="C40" t="s">
        <v>203</v>
      </c>
      <c r="D40" s="14" t="s">
        <v>251</v>
      </c>
    </row>
    <row r="41" spans="1:4" x14ac:dyDescent="0.25">
      <c r="A41" t="s">
        <v>248</v>
      </c>
      <c r="B41" t="s">
        <v>204</v>
      </c>
      <c r="C41" t="s">
        <v>205</v>
      </c>
      <c r="D41" s="14" t="s">
        <v>251</v>
      </c>
    </row>
    <row r="42" spans="1:4" x14ac:dyDescent="0.25">
      <c r="A42" t="s">
        <v>206</v>
      </c>
      <c r="B42" t="s">
        <v>207</v>
      </c>
      <c r="C42" t="s">
        <v>208</v>
      </c>
      <c r="D42" s="14" t="s">
        <v>300</v>
      </c>
    </row>
    <row r="43" spans="1:4" x14ac:dyDescent="0.25">
      <c r="A43" t="s">
        <v>312</v>
      </c>
      <c r="B43" t="s">
        <v>312</v>
      </c>
      <c r="C43" t="s">
        <v>313</v>
      </c>
      <c r="D43" s="14" t="s">
        <v>314</v>
      </c>
    </row>
    <row r="44" spans="1:4" x14ac:dyDescent="0.25">
      <c r="A44" t="s">
        <v>209</v>
      </c>
      <c r="B44" t="s">
        <v>210</v>
      </c>
      <c r="C44" t="s">
        <v>211</v>
      </c>
      <c r="D44" s="14"/>
    </row>
    <row r="45" spans="1:4" x14ac:dyDescent="0.25">
      <c r="A45" t="s">
        <v>212</v>
      </c>
      <c r="B45" t="s">
        <v>213</v>
      </c>
      <c r="C45" t="s">
        <v>214</v>
      </c>
      <c r="D45" s="14" t="s">
        <v>301</v>
      </c>
    </row>
    <row r="46" spans="1:4" x14ac:dyDescent="0.25">
      <c r="A46" t="s">
        <v>249</v>
      </c>
      <c r="B46" t="s">
        <v>215</v>
      </c>
      <c r="C46" t="s">
        <v>216</v>
      </c>
      <c r="D46" s="14" t="s">
        <v>301</v>
      </c>
    </row>
    <row r="47" spans="1:4" ht="15.75" thickBot="1" x14ac:dyDescent="0.3">
      <c r="A47" t="s">
        <v>309</v>
      </c>
      <c r="B47" t="s">
        <v>217</v>
      </c>
      <c r="C47" t="s">
        <v>218</v>
      </c>
      <c r="D47" s="14" t="s">
        <v>302</v>
      </c>
    </row>
    <row r="48" spans="1:4" x14ac:dyDescent="0.25">
      <c r="A48" t="s">
        <v>245</v>
      </c>
      <c r="B48" t="s">
        <v>219</v>
      </c>
      <c r="C48" t="s">
        <v>220</v>
      </c>
      <c r="D48" s="19" t="s">
        <v>303</v>
      </c>
    </row>
    <row r="49" spans="1:4" x14ac:dyDescent="0.25">
      <c r="A49" t="s">
        <v>221</v>
      </c>
      <c r="B49" t="s">
        <v>222</v>
      </c>
      <c r="C49" t="s">
        <v>223</v>
      </c>
      <c r="D49" s="14" t="s">
        <v>304</v>
      </c>
    </row>
    <row r="50" spans="1:4" x14ac:dyDescent="0.25">
      <c r="A50" t="s">
        <v>310</v>
      </c>
      <c r="B50" t="s">
        <v>224</v>
      </c>
      <c r="C50" t="s">
        <v>225</v>
      </c>
      <c r="D50" s="14" t="s">
        <v>305</v>
      </c>
    </row>
    <row r="51" spans="1:4" ht="15.75" thickBot="1" x14ac:dyDescent="0.3">
      <c r="A51" t="s">
        <v>226</v>
      </c>
      <c r="B51" t="s">
        <v>227</v>
      </c>
      <c r="C51" t="s">
        <v>228</v>
      </c>
      <c r="D51" s="14" t="s">
        <v>306</v>
      </c>
    </row>
    <row r="52" spans="1:4" x14ac:dyDescent="0.25">
      <c r="A52" t="s">
        <v>229</v>
      </c>
      <c r="B52" t="s">
        <v>230</v>
      </c>
      <c r="C52" t="s">
        <v>231</v>
      </c>
      <c r="D52" s="18" t="s">
        <v>307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Identificação da Empresa</vt:lpstr>
      <vt:lpstr>BOD</vt:lpstr>
      <vt:lpstr>Instruções</vt:lpstr>
      <vt:lpstr>Identificação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</dc:creator>
  <cp:lastModifiedBy>Rogerio Piccoli</cp:lastModifiedBy>
  <dcterms:created xsi:type="dcterms:W3CDTF">2018-12-10T00:26:17Z</dcterms:created>
  <dcterms:modified xsi:type="dcterms:W3CDTF">2025-07-10T19:50:12Z</dcterms:modified>
</cp:coreProperties>
</file>