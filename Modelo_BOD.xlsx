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10.10.10.1\fileserver\tecnologia\rogerio.piccoli\BOD\Modelos\"/>
    </mc:Choice>
  </mc:AlternateContent>
  <xr:revisionPtr revIDLastSave="0" documentId="13_ncr:1_{BE51D52D-C69B-4EE5-ABED-B4128F5AB879}" xr6:coauthVersionLast="47" xr6:coauthVersionMax="47" xr10:uidLastSave="{00000000-0000-0000-0000-000000000000}"/>
  <bookViews>
    <workbookView xWindow="-120" yWindow="-120" windowWidth="29040" windowHeight="15720" tabRatio="545" activeTab="2" xr2:uid="{00000000-000D-0000-FFFF-FFFF00000000}"/>
  </bookViews>
  <sheets>
    <sheet name="MATRIZ" sheetId="12" r:id="rId1"/>
    <sheet name="BOD" sheetId="3" r:id="rId2"/>
    <sheet name="SINTETICO" sheetId="13" r:id="rId3"/>
    <sheet name="ATM" sheetId="5" r:id="rId4"/>
  </sheets>
  <definedNames>
    <definedName name="__xlfn_IFERROR">#N/A</definedName>
    <definedName name="_xlnm._FilterDatabase" localSheetId="1" hidden="1">BOD!$A$1:$AC$2</definedName>
    <definedName name="_xlnm._FilterDatabase" localSheetId="0" hidden="1">MATRIZ!$A$1:$AC$3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8" i="13" l="1"/>
  <c r="R48" i="13"/>
  <c r="Q48" i="13"/>
  <c r="P48" i="13"/>
  <c r="O48" i="13"/>
  <c r="N48" i="13"/>
  <c r="M48" i="13"/>
  <c r="U48" i="13" s="1"/>
  <c r="L48" i="13"/>
  <c r="K48" i="13"/>
  <c r="J48" i="13"/>
  <c r="D52" i="13" s="1"/>
  <c r="I48" i="13"/>
  <c r="D53" i="13" s="1"/>
  <c r="H48" i="13"/>
  <c r="G48" i="13"/>
  <c r="F48" i="13"/>
  <c r="E48" i="13"/>
  <c r="T48" i="13" s="1"/>
  <c r="D48" i="13"/>
  <c r="U35" i="13"/>
  <c r="S35" i="13"/>
  <c r="R35" i="13"/>
  <c r="Q35" i="13"/>
  <c r="P35" i="13"/>
  <c r="O35" i="13"/>
  <c r="N35" i="13"/>
  <c r="M35" i="13"/>
  <c r="L35" i="13"/>
  <c r="K35" i="13"/>
  <c r="J35" i="13"/>
  <c r="W35" i="13" s="1"/>
  <c r="I35" i="13"/>
  <c r="H35" i="13"/>
  <c r="G35" i="13"/>
  <c r="F35" i="13"/>
  <c r="T35" i="13" s="1"/>
  <c r="E35" i="13"/>
  <c r="D35" i="13"/>
  <c r="U22" i="13"/>
  <c r="S22" i="13"/>
  <c r="S49" i="13" s="1"/>
  <c r="R22" i="13"/>
  <c r="R49" i="13" s="1"/>
  <c r="Q22" i="13"/>
  <c r="Q49" i="13" s="1"/>
  <c r="P22" i="13"/>
  <c r="P49" i="13" s="1"/>
  <c r="O22" i="13"/>
  <c r="O49" i="13" s="1"/>
  <c r="N22" i="13"/>
  <c r="N49" i="13" s="1"/>
  <c r="M22" i="13"/>
  <c r="M49" i="13" s="1"/>
  <c r="L22" i="13"/>
  <c r="L49" i="13" s="1"/>
  <c r="K22" i="13"/>
  <c r="K49" i="13" s="1"/>
  <c r="J22" i="13"/>
  <c r="W22" i="13" s="1"/>
  <c r="I22" i="13"/>
  <c r="D54" i="13" s="1"/>
  <c r="H22" i="13"/>
  <c r="H49" i="13" s="1"/>
  <c r="G22" i="13"/>
  <c r="G49" i="13" s="1"/>
  <c r="F22" i="13"/>
  <c r="F49" i="13" s="1"/>
  <c r="E22" i="13"/>
  <c r="E49" i="13" s="1"/>
  <c r="D22" i="13"/>
  <c r="D49" i="13" s="1"/>
  <c r="AD86" i="12"/>
  <c r="AD85" i="12"/>
  <c r="AD84" i="12"/>
  <c r="AD83" i="12"/>
  <c r="AD82" i="12"/>
  <c r="AD81" i="12"/>
  <c r="AD80" i="12"/>
  <c r="AD79" i="12"/>
  <c r="AD78" i="12"/>
  <c r="AD77" i="12"/>
  <c r="AD76" i="12"/>
  <c r="AD75" i="12"/>
  <c r="AD74" i="12"/>
  <c r="AD73" i="12"/>
  <c r="AD72" i="12"/>
  <c r="AD71" i="12"/>
  <c r="AD70" i="12"/>
  <c r="AD69" i="12"/>
  <c r="AD68" i="12"/>
  <c r="AD67" i="12"/>
  <c r="AD66" i="12"/>
  <c r="AD65" i="12"/>
  <c r="AD64" i="12"/>
  <c r="AD63" i="12"/>
  <c r="AD62" i="12"/>
  <c r="AD61" i="12"/>
  <c r="AD60" i="12"/>
  <c r="AD59" i="12"/>
  <c r="AD58" i="12"/>
  <c r="AD57" i="12"/>
  <c r="AD56" i="12"/>
  <c r="AD55" i="12"/>
  <c r="AD54" i="12"/>
  <c r="AD53" i="12"/>
  <c r="AD52" i="12"/>
  <c r="AD51" i="12"/>
  <c r="AD50" i="12"/>
  <c r="AD49" i="12"/>
  <c r="AD48" i="12"/>
  <c r="AD47" i="12"/>
  <c r="AD46" i="12"/>
  <c r="AD45" i="12"/>
  <c r="AD44" i="12"/>
  <c r="AD43" i="12"/>
  <c r="AD42" i="12"/>
  <c r="AD41" i="12"/>
  <c r="AD40" i="12"/>
  <c r="AD39" i="12"/>
  <c r="AD38" i="12"/>
  <c r="AD37" i="12"/>
  <c r="AD36" i="12"/>
  <c r="AD35" i="12"/>
  <c r="AD34" i="12"/>
  <c r="AD33" i="12"/>
  <c r="AD32" i="12"/>
  <c r="AD31" i="12"/>
  <c r="AD30" i="12"/>
  <c r="AD29" i="12"/>
  <c r="AD28" i="12"/>
  <c r="AD27" i="12"/>
  <c r="AD26" i="12"/>
  <c r="AD25" i="12"/>
  <c r="AD24" i="12"/>
  <c r="AD23" i="12"/>
  <c r="AD22" i="12"/>
  <c r="AD21" i="12"/>
  <c r="AD20" i="12"/>
  <c r="AD19" i="12"/>
  <c r="AD18" i="12"/>
  <c r="AD17" i="12"/>
  <c r="AD16" i="12"/>
  <c r="AD15" i="12"/>
  <c r="AD14" i="12"/>
  <c r="AD13" i="12"/>
  <c r="AD12" i="12"/>
  <c r="AD11" i="12"/>
  <c r="AD10" i="12"/>
  <c r="AD9" i="12"/>
  <c r="AD8" i="12"/>
  <c r="AD7" i="12"/>
  <c r="AD6" i="12"/>
  <c r="AD5" i="12"/>
  <c r="AD4" i="12"/>
  <c r="AD3" i="12"/>
  <c r="AD2" i="12"/>
  <c r="AC64" i="12"/>
  <c r="AC65" i="12" s="1"/>
  <c r="AC66" i="12" s="1"/>
  <c r="AC67" i="12" s="1"/>
  <c r="AC68" i="12" s="1"/>
  <c r="AC69" i="12" s="1"/>
  <c r="AC70" i="12" s="1"/>
  <c r="AC71" i="12" s="1"/>
  <c r="AC72" i="12" s="1"/>
  <c r="AC73" i="12" s="1"/>
  <c r="AC74" i="12" s="1"/>
  <c r="AC75" i="12" s="1"/>
  <c r="AC76" i="12" s="1"/>
  <c r="AC77" i="12" s="1"/>
  <c r="AC78" i="12" s="1"/>
  <c r="AC79" i="12" s="1"/>
  <c r="AC80" i="12" s="1"/>
  <c r="AC81" i="12" s="1"/>
  <c r="AC82" i="12" s="1"/>
  <c r="AC83" i="12" s="1"/>
  <c r="AC84" i="12" s="1"/>
  <c r="AC27" i="12"/>
  <c r="AC28" i="12" s="1"/>
  <c r="AC29" i="12" s="1"/>
  <c r="AC30" i="12" s="1"/>
  <c r="AC31" i="12" s="1"/>
  <c r="AC32" i="12" s="1"/>
  <c r="AC33" i="12" s="1"/>
  <c r="AC34" i="12" s="1"/>
  <c r="AC35" i="12" s="1"/>
  <c r="AC36" i="12" s="1"/>
  <c r="AC37" i="12" s="1"/>
  <c r="AC38" i="12" s="1"/>
  <c r="AC39" i="12" s="1"/>
  <c r="AC40" i="12" s="1"/>
  <c r="AC41" i="12" s="1"/>
  <c r="AC42" i="12" s="1"/>
  <c r="AC43" i="12" s="1"/>
  <c r="AC44" i="12" s="1"/>
  <c r="AC45" i="12" s="1"/>
  <c r="AC46" i="12" s="1"/>
  <c r="AC47" i="12" s="1"/>
  <c r="AC48" i="12" s="1"/>
  <c r="AC49" i="12" s="1"/>
  <c r="AC50" i="12" s="1"/>
  <c r="AC51" i="12" s="1"/>
  <c r="AC52" i="12" s="1"/>
  <c r="AC53" i="12" s="1"/>
  <c r="AC54" i="12" s="1"/>
  <c r="AC55" i="12" s="1"/>
  <c r="AC56" i="12" s="1"/>
  <c r="AC57" i="12" s="1"/>
  <c r="AC58" i="12" s="1"/>
  <c r="AC59" i="12" s="1"/>
  <c r="AC60" i="12" s="1"/>
  <c r="AC61" i="12" s="1"/>
  <c r="AC62" i="12" s="1"/>
  <c r="AC4" i="12"/>
  <c r="AC5" i="12" s="1"/>
  <c r="AC6" i="12" s="1"/>
  <c r="AC7" i="12" s="1"/>
  <c r="AC8" i="12" s="1"/>
  <c r="AC9" i="12" s="1"/>
  <c r="AC10" i="12" s="1"/>
  <c r="AC11" i="12" s="1"/>
  <c r="AC12" i="12" s="1"/>
  <c r="AC13" i="12" s="1"/>
  <c r="AC14" i="12" s="1"/>
  <c r="AC15" i="12" s="1"/>
  <c r="AC16" i="12" s="1"/>
  <c r="AC17" i="12" s="1"/>
  <c r="AC18" i="12" s="1"/>
  <c r="AC19" i="12" s="1"/>
  <c r="AC20" i="12" s="1"/>
  <c r="AC21" i="12" s="1"/>
  <c r="AC24" i="12" s="1"/>
  <c r="AC25" i="12" s="1"/>
  <c r="AC3" i="12"/>
  <c r="T49" i="13" l="1"/>
  <c r="V48" i="13"/>
  <c r="W48" i="13"/>
  <c r="V35" i="13"/>
  <c r="T22" i="13"/>
  <c r="I49" i="13"/>
  <c r="V22" i="13"/>
  <c r="J49" i="13"/>
  <c r="V49" i="13" l="1"/>
  <c r="W49" i="13"/>
  <c r="U49" i="13"/>
</calcChain>
</file>

<file path=xl/sharedStrings.xml><?xml version="1.0" encoding="utf-8"?>
<sst xmlns="http://schemas.openxmlformats.org/spreadsheetml/2006/main" count="639" uniqueCount="280">
  <si>
    <t>R</t>
  </si>
  <si>
    <t>S</t>
  </si>
  <si>
    <t>EXT_A</t>
  </si>
  <si>
    <t>EXT_B</t>
  </si>
  <si>
    <t>DINHEIRO</t>
  </si>
  <si>
    <t>ESCOLAR</t>
  </si>
  <si>
    <t>A</t>
  </si>
  <si>
    <t>A131A</t>
  </si>
  <si>
    <t>ALIMENTADORA COLINA/CATAMARA</t>
  </si>
  <si>
    <t>A151A</t>
  </si>
  <si>
    <t>ALIMENTADORA FLORIDA/CATAMARA</t>
  </si>
  <si>
    <t>A153A</t>
  </si>
  <si>
    <t>ALIMENTADORA JARDIM DOS LAGOS</t>
  </si>
  <si>
    <t>A153B</t>
  </si>
  <si>
    <t>ALIMENTADORA BOM FIM</t>
  </si>
  <si>
    <t>A154A</t>
  </si>
  <si>
    <t>ALIMENTADORA SÃO FRANCISCO</t>
  </si>
  <si>
    <t>A161</t>
  </si>
  <si>
    <t>ALIMENTADORA SÃO JORGE</t>
  </si>
  <si>
    <t>A161A</t>
  </si>
  <si>
    <t>ALIMENTADORA PASSO FUNDO</t>
  </si>
  <si>
    <t>ALIMENTADORA PEDRAS BRANCAS</t>
  </si>
  <si>
    <t>A501A</t>
  </si>
  <si>
    <t>ALIMENTADORA CENTRO NOVO</t>
  </si>
  <si>
    <t>L121</t>
  </si>
  <si>
    <t>C</t>
  </si>
  <si>
    <t>L121A</t>
  </si>
  <si>
    <t>L121B</t>
  </si>
  <si>
    <t>L121E</t>
  </si>
  <si>
    <t>L131</t>
  </si>
  <si>
    <t>L131E</t>
  </si>
  <si>
    <t>L151B</t>
  </si>
  <si>
    <t>L151D</t>
  </si>
  <si>
    <t>L161</t>
  </si>
  <si>
    <t>L161A</t>
  </si>
  <si>
    <t>L500</t>
  </si>
  <si>
    <t>L501</t>
  </si>
  <si>
    <t>L501D</t>
  </si>
  <si>
    <t>L501E</t>
  </si>
  <si>
    <t>L501F</t>
  </si>
  <si>
    <t>M105</t>
  </si>
  <si>
    <t>R860</t>
  </si>
  <si>
    <t>R860B</t>
  </si>
  <si>
    <t>R862</t>
  </si>
  <si>
    <t>R863</t>
  </si>
  <si>
    <t>L121C</t>
  </si>
  <si>
    <t>L131B</t>
  </si>
  <si>
    <t>L131D</t>
  </si>
  <si>
    <t>L151A</t>
  </si>
  <si>
    <t>L151C</t>
  </si>
  <si>
    <t>L151E</t>
  </si>
  <si>
    <t>L151F</t>
  </si>
  <si>
    <t>L151G</t>
  </si>
  <si>
    <t>L500C</t>
  </si>
  <si>
    <t>L501B</t>
  </si>
  <si>
    <t>RT001</t>
  </si>
  <si>
    <t>COD</t>
  </si>
  <si>
    <t>KM</t>
  </si>
  <si>
    <t>Ano</t>
  </si>
  <si>
    <t>Mês</t>
  </si>
  <si>
    <t xml:space="preserve">Código da </t>
  </si>
  <si>
    <t>Ramal</t>
  </si>
  <si>
    <t xml:space="preserve">Tipo de </t>
  </si>
  <si>
    <t>Sentido</t>
  </si>
  <si>
    <t>Extensão</t>
  </si>
  <si>
    <t>Tarifa Maxima</t>
  </si>
  <si>
    <t xml:space="preserve">Lotação </t>
  </si>
  <si>
    <t>Viagens Realizadas</t>
  </si>
  <si>
    <t xml:space="preserve">Total de Passageiros </t>
  </si>
  <si>
    <t>Total de Passageiros</t>
  </si>
  <si>
    <t xml:space="preserve">Receita Auferida </t>
  </si>
  <si>
    <t xml:space="preserve">Frota </t>
  </si>
  <si>
    <t>Empresa</t>
  </si>
  <si>
    <t>Linha</t>
  </si>
  <si>
    <t>Serviço</t>
  </si>
  <si>
    <t xml:space="preserve"> Classe A</t>
  </si>
  <si>
    <t>Classe B</t>
  </si>
  <si>
    <t xml:space="preserve"> Comum (R$)</t>
  </si>
  <si>
    <t xml:space="preserve"> Escolar (R$)</t>
  </si>
  <si>
    <t>Média</t>
  </si>
  <si>
    <t>Simples</t>
  </si>
  <si>
    <t>Expressa</t>
  </si>
  <si>
    <t>Deslocamento</t>
  </si>
  <si>
    <t>Comum</t>
  </si>
  <si>
    <t>Escolar</t>
  </si>
  <si>
    <t>Escolar/Passe Livre</t>
  </si>
  <si>
    <t>Isentos</t>
  </si>
  <si>
    <t>Integração Rodoviária</t>
  </si>
  <si>
    <t xml:space="preserve">Integração Ferroviária </t>
  </si>
  <si>
    <t>Tarifa Comum</t>
  </si>
  <si>
    <t>Tarifa Escolar</t>
  </si>
  <si>
    <t>Operante</t>
  </si>
  <si>
    <t>PORTO ALEGRE - SANTA RITA /VIA FARRAPOS</t>
  </si>
  <si>
    <t>PORTO ALEGRE - SANTA RITA /VIA CASTELO BRANCO</t>
  </si>
  <si>
    <t>PORTO ALEGRE - SANTA RITA/COHAB /VIA FARRAPOS</t>
  </si>
  <si>
    <t>PORTO ALEGRE - SANTA RITA/VILA IPÊ /VIA FARRAPOS</t>
  </si>
  <si>
    <t>PORTO ALEGRE - MORADAS DA COLINA</t>
  </si>
  <si>
    <t>TRONCAL PORTO ALEGRE - FÁTIMA /VIA BR116</t>
  </si>
  <si>
    <t>TRONCAL PORTO ALEGRE - FLORIDA /VIA ENGENHO/FARRAPOS</t>
  </si>
  <si>
    <t>TRONCAL PORTO ALEGRE - FLORIDA /VIA FARRAPOS</t>
  </si>
  <si>
    <t>PORTO ALEGRE - SÃO JORGE / VILA NOVA</t>
  </si>
  <si>
    <t>PORTO ALEGRE - PASSO FUNDO / SÃO JORGE</t>
  </si>
  <si>
    <t>PORTO ALEGRE - SANS SOUCI /VIA FARRAPOS</t>
  </si>
  <si>
    <t>TRONCAL PORTO ALEGRE - ELDORADO DO SUL /VIA FARRAPOS</t>
  </si>
  <si>
    <t>PORTO ALEGRE - ELDORADO DO SUL/MEDIANEIRA</t>
  </si>
  <si>
    <t>PORTO ALEGRE - ELDORADO DO SUL/CIDADE VERDE</t>
  </si>
  <si>
    <t>PORTO ALEGRE - ELDORADO DO SUL/CENTRO NOVO VIA FARRAPOS</t>
  </si>
  <si>
    <t>TRANSVERSAL METROPOLITANA 5 VIA AEROPORTO</t>
  </si>
  <si>
    <t>GUAIBA/FLORIDA - ELDORADO DO SUL /VIA SANS SOUCI</t>
  </si>
  <si>
    <t>GUAIBA/FLORIDA - ELDORADO DO SUL /VIA BR116</t>
  </si>
  <si>
    <t>GUAIBA - BOM RETIRO /VIA LOGRADOURO</t>
  </si>
  <si>
    <t>GUAIBA - BOM RETIRO /VIA FAZ. SÃO MARCOS</t>
  </si>
  <si>
    <t>PORTO ALEGRE - SANTA RITA/VIA CB [SD/EXECUTIVO]</t>
  </si>
  <si>
    <t>PORTO ALEGRE - COLINA /VIA CB [SD/EXECUTIVO]</t>
  </si>
  <si>
    <t>PORTO ALEGRE - FÁTIMA /VIA CB [SD/EXECUTIVO]</t>
  </si>
  <si>
    <t>PORTO ALEGRE - FLORIDA /VIA CB [SD/EXECUTIVO]</t>
  </si>
  <si>
    <t>PORTO ALEGRE - FLORIDA /VIA CB/CL [SD/EXECUTIVO]</t>
  </si>
  <si>
    <t>PORTO ALEGRE - FLORIDA /VIA CB/PB [SD/EXECUTIVO]</t>
  </si>
  <si>
    <t>PORTO ALEGRE - FLORIDA /VIA GE/PB [SD/EXECUTIVO]</t>
  </si>
  <si>
    <t>PORTO ALEGRE - FLORIDA /VIA CB/ML [SD/EXECUTIVO]</t>
  </si>
  <si>
    <t>PORTO ALEGRE - SANS SOUCI /VIA CB [SD/EXECUTIVO]</t>
  </si>
  <si>
    <t>PORTO ALEGRE - ELDORADO DO SUL /VIA CB [SD/EXECUTIVO]</t>
  </si>
  <si>
    <t>PORTO ALEGRE - ULBRA /VIA CB/FR</t>
  </si>
  <si>
    <t>Cód VT</t>
  </si>
  <si>
    <t>VT</t>
  </si>
  <si>
    <t>PE</t>
  </si>
  <si>
    <t>PT/VI</t>
  </si>
  <si>
    <t>SERVIÇO CONVENCIONAL</t>
  </si>
  <si>
    <t>SERVIÇO COMPLEMENTAR</t>
  </si>
  <si>
    <t>SERVIÇO ALIMENTADOR</t>
  </si>
  <si>
    <t>TOTAL</t>
  </si>
  <si>
    <t>Passageiros Pagantes Alimentadoras [Viajantes nas Troncais]</t>
  </si>
  <si>
    <t>Passageiros Pagantes nas Troncais [Viajantes nas Alimentadoras]</t>
  </si>
  <si>
    <t>Passageiros Baldeação nas linhas Troncais</t>
  </si>
  <si>
    <t>Obs.: Planilha Padrão do Relatório Sintético</t>
  </si>
  <si>
    <t>RELATÓRIO MENSAL DE PASSAGENS</t>
  </si>
  <si>
    <t>INFORMAÇÕES POR LINHA/TARIFA</t>
  </si>
  <si>
    <t>ASSOCIADA: EXPRESSO RIO GUAÍBA LTDA.</t>
  </si>
  <si>
    <t>RESPONSÁVEL: Rogerio Piccoli</t>
  </si>
  <si>
    <t>CÓD. NOME DA LINHA</t>
  </si>
  <si>
    <t>TARIFA</t>
  </si>
  <si>
    <t>PASSAGEIROS/MÊS/TARIFA</t>
  </si>
  <si>
    <t>RECEITA (R$)</t>
  </si>
  <si>
    <t>VALE</t>
  </si>
  <si>
    <t>ISENTOS</t>
  </si>
  <si>
    <t>L501G</t>
  </si>
  <si>
    <t>PORTO ALEGRE - ELDORADO DO SUL/ME /VIA CB [SD/EXECUTIVO]</t>
  </si>
  <si>
    <t>PORTO ALEGRE - SANTA RITA</t>
  </si>
  <si>
    <t>PORTO ALEGRE - SANTA RITA/VIA CB</t>
  </si>
  <si>
    <t>PORTO ALEGRE - SANTA RITA/COHAB</t>
  </si>
  <si>
    <t>PORTO ALEGRE - SANTA RITA/IPÊ</t>
  </si>
  <si>
    <t>PORTO ALEGRE - COLINA/VIA FR</t>
  </si>
  <si>
    <t>TRONCAL FÁTIMA/VIA BR116</t>
  </si>
  <si>
    <t>TRONCAL FLORIDA/ENGENHO</t>
  </si>
  <si>
    <t>TRONCAL FLORIDA</t>
  </si>
  <si>
    <t>PORTO ALEGRE - SÃO JORGE/VILA NOVA</t>
  </si>
  <si>
    <t>PORTO ALEGRE - PASSO FUNDO/SÃO JORGE</t>
  </si>
  <si>
    <t>PORTO ALEGRE - SANS SOUCI</t>
  </si>
  <si>
    <t>TRONCAL ELDORADO DO SUL</t>
  </si>
  <si>
    <t>PORTO ALEGRE - ELDORADO DO SUL/CENTRO NOVO</t>
  </si>
  <si>
    <t>ALVORADA - GUAÍBA</t>
  </si>
  <si>
    <t>GUAÍBA/FLORIDA - ELDORADO DO SUL/VIA SS</t>
  </si>
  <si>
    <t>GUAÍBA/FLORIDA - ELDORADO DO SUL/VIA BR116</t>
  </si>
  <si>
    <t>GUAÍBA - BOM RETIRO/VIA LG</t>
  </si>
  <si>
    <t>GUAÍBA - BOM RETIRO/VIA FSM</t>
  </si>
  <si>
    <t>PORTO ALEGRE - SANTA RITA/VIA CB [SD]</t>
  </si>
  <si>
    <t>PORTO ALEGRE - COLINA/VIA CB [SD]</t>
  </si>
  <si>
    <t>PORTO ALEGRE - FÁTIMA/VIA CB [SD]</t>
  </si>
  <si>
    <t>PORTO ALEGRE - FLORIDA/VIA CB [SD]</t>
  </si>
  <si>
    <t>PORTO ALEGRE - FLORIDA/VIA CB/CL [SD]</t>
  </si>
  <si>
    <t>PORTOALEGRE - FLORIDA/VIA CB/PRB [SD]</t>
  </si>
  <si>
    <t>PORTO ALEGRE - FLORIDA/VIA GE/PB [SD]</t>
  </si>
  <si>
    <t>PORTO ALEGRE - FLORIDA/VIA CB/ML [SD]</t>
  </si>
  <si>
    <t>PORTO ALEGRE - SANS SOUCI/VIA CB [SD]</t>
  </si>
  <si>
    <t>PORTO ALEGRE - ELDORADO DO SUL/VIA CB [SD]</t>
  </si>
  <si>
    <t>PORTO ALEGRE - ELDORADO DO SUL/ME VIA CB[SD]</t>
  </si>
  <si>
    <t>PORTO ALEGRE - ULBRA/VIA CB[SD]</t>
  </si>
  <si>
    <t>ALIMENTADORA COLINA</t>
  </si>
  <si>
    <t>A131B</t>
  </si>
  <si>
    <t>A162B</t>
  </si>
  <si>
    <t>ALIMENTADORA PARQUE 35</t>
  </si>
  <si>
    <t>A162A</t>
  </si>
  <si>
    <t>Nome da Linha</t>
  </si>
  <si>
    <t xml:space="preserve">DATA: </t>
  </si>
  <si>
    <t>PERÍODO:</t>
  </si>
  <si>
    <t>FROTA</t>
  </si>
  <si>
    <t>SENT</t>
  </si>
  <si>
    <t>SERV</t>
  </si>
  <si>
    <t>NOME</t>
  </si>
  <si>
    <t>TAR_MAX_COM</t>
  </si>
  <si>
    <t>TAR_MAX_ESC</t>
  </si>
  <si>
    <t>KM_EXP</t>
  </si>
  <si>
    <t>KM_OSC</t>
  </si>
  <si>
    <t>TX_ISE</t>
  </si>
  <si>
    <r>
      <t xml:space="preserve">Extensão Percorrida </t>
    </r>
    <r>
      <rPr>
        <b/>
        <sz val="11"/>
        <color indexed="8"/>
        <rFont val="Calibri"/>
        <family val="2"/>
      </rPr>
      <t>(em Km)</t>
    </r>
  </si>
  <si>
    <t>A501</t>
  </si>
  <si>
    <t>ALIMENTADORA SANS SOUCI</t>
  </si>
  <si>
    <t>GU99</t>
  </si>
  <si>
    <t>ANO</t>
  </si>
  <si>
    <t>EMP</t>
  </si>
  <si>
    <t>VR_EXP</t>
  </si>
  <si>
    <t>VR_DESL</t>
  </si>
  <si>
    <t>VR_SIMP</t>
  </si>
  <si>
    <t>EXTP_SIMP</t>
  </si>
  <si>
    <t>EXTP_EXP</t>
  </si>
  <si>
    <t>EXTP_DESL</t>
  </si>
  <si>
    <t>PASS_COM</t>
  </si>
  <si>
    <t>PASS_ESC</t>
  </si>
  <si>
    <t>PASS_LIVRE</t>
  </si>
  <si>
    <t>PASS_ISE</t>
  </si>
  <si>
    <t>PASS_INT_ROD</t>
  </si>
  <si>
    <t>PASS_INT_FER</t>
  </si>
  <si>
    <t>REC_TAR_COM</t>
  </si>
  <si>
    <t>REC_TAR_ESC</t>
  </si>
  <si>
    <t>REC_TAR_LIVRE</t>
  </si>
  <si>
    <t>A131A - ALIMENTADORA COLINA/CATAMARA</t>
  </si>
  <si>
    <t>TOTAL DA LINHA</t>
  </si>
  <si>
    <t>A131B - ALIMENTADORA COLINA</t>
  </si>
  <si>
    <t>A151A - ALIMENTADORA FLORIDA/CATAMARA</t>
  </si>
  <si>
    <t>A153A - ALIMENTADORA JARDIM DOS LAGOS</t>
  </si>
  <si>
    <t>A153B - ALIMENTADORA BOM FIM</t>
  </si>
  <si>
    <t>A154A - ALIMENTADORA SÃO FRANCISCO</t>
  </si>
  <si>
    <t>A161 - ALIMENTADORA SÃO JORGE</t>
  </si>
  <si>
    <t>A161A - ALIMENTADORA PASSO FUNDO</t>
  </si>
  <si>
    <t>A162A - ALIMENTADORA PEDRAS BRANCAS</t>
  </si>
  <si>
    <t>A162B - ALIMENTADORA PARQUE 35</t>
  </si>
  <si>
    <t>A501 - ALIMENTADORA SANS SOUCI</t>
  </si>
  <si>
    <t>A501A - ALIMENTADORA CENTRO NOVO</t>
  </si>
  <si>
    <t>L121 - PORTO ALEGRE - SANTA RITA /VIA FARRAPOS</t>
  </si>
  <si>
    <t>L121A - PORTO ALEGRE - SANTA RITA /VIA CASTELO BRANCO</t>
  </si>
  <si>
    <t>L121B - PORTO ALEGRE - SANTA RITA/COHAB /VIA FARRAPOS</t>
  </si>
  <si>
    <t>L121C - PORTO ALEGRE - SANTA RITA/VIA CB [SD/EXECUTIVO]</t>
  </si>
  <si>
    <t>L121E - PORTO ALEGRE - SANTA RITA/VILA IPÊ /VIA FARRAPOS</t>
  </si>
  <si>
    <t>L131 - PORTO ALEGRE - MORADAS DA COLINA</t>
  </si>
  <si>
    <t>L131B - PORTO ALEGRE - COLINA /VIA CB [SD/EXECUTIVO]</t>
  </si>
  <si>
    <t>L131D - PORTO ALEGRE - FÁTIMA /VIA CB [SD/EXECUTIVO]</t>
  </si>
  <si>
    <t>L131E - TRONCAL PORTO ALEGRE - FÁTIMA /VIA BR116</t>
  </si>
  <si>
    <t>L151A - PORTO ALEGRE - FLORIDA /VIA CB [SD/EXECUTIVO]</t>
  </si>
  <si>
    <t>L151B - TRONCAL PORTO ALEGRE - FLORIDA /VIA ENGENHO/FARRAPOS</t>
  </si>
  <si>
    <t>L151C - PORTO ALEGRE - FLORIDA /VIA CB/CL [SD/EXECUTIVO]</t>
  </si>
  <si>
    <t>L151D - TRONCAL PORTO ALEGRE - FLORIDA /VIA FARRAPOS</t>
  </si>
  <si>
    <t>L151E - PORTO ALEGRE - FLORIDA /VIA CB/PB [SD/EXECUTIVO]</t>
  </si>
  <si>
    <t>L151F - PORTO ALEGRE - FLORIDA /VIA GE/PB [SD/EXECUTIVO]</t>
  </si>
  <si>
    <t>L151G - PORTO ALEGRE - FLORIDA /VIA CB/ML [SD/EXECUTIVO]</t>
  </si>
  <si>
    <t>L161 - PORTO ALEGRE - SÃO JORGE / VILA NOVA</t>
  </si>
  <si>
    <t>L161A - PORTO ALEGRE - PASSO FUNDO / SÃO JORGE</t>
  </si>
  <si>
    <t>L500 - PORTO ALEGRE - SANS SOUCI /VIA FARRAPOS</t>
  </si>
  <si>
    <t>L500C - PORTO ALEGRE - SANS SOUCI /VIA CB [SD/EXECUTIVO]</t>
  </si>
  <si>
    <t>L501 - TRONCAL PORTO ALEGRE - ELDORADO DO SUL /VIA FARRAPOS</t>
  </si>
  <si>
    <t>L501B - PORTO ALEGRE - ELDORADO DO SUL /VIA CB [SD/EXECUTIVO]</t>
  </si>
  <si>
    <t>L501D - PORTO ALEGRE - ELDORADO DO SUL/MEDIANEIRA</t>
  </si>
  <si>
    <t>L501E - PORTO ALEGRE - ELDORADO DO SUL/CIDADE VERDE</t>
  </si>
  <si>
    <t>L501F - PORTO ALEGRE - ELDORADO DO SUL/CENTRO NOVO VIA FARRAPOS</t>
  </si>
  <si>
    <t>L501G - PORTO ALEGRE - ELDORADO DO SUL/ME /VIA CB [SD/EXECUTIVO]</t>
  </si>
  <si>
    <t>M105 - TRANSVERSAL METROPOLITANA 5 VIA AEROPORTO</t>
  </si>
  <si>
    <t>R860 - GUAIBA/FLORIDA - ELDORADO DO SUL /VIA SANS SOUCI</t>
  </si>
  <si>
    <t>R860B - GUAIBA/FLORIDA - ELDORADO DO SUL /VIA BR116</t>
  </si>
  <si>
    <t>R862 - GUAIBA - BOM RETIRO /VIA LOGRADOURO</t>
  </si>
  <si>
    <t>R863 - GUAIBA - BOM RETIRO /VIA FAZ. SÃO MARCOS</t>
  </si>
  <si>
    <t>RT001 - PORTO ALEGRE - ULBRA /VIA CB/FR</t>
  </si>
  <si>
    <r>
      <t xml:space="preserve">Viag. Úteis </t>
    </r>
    <r>
      <rPr>
        <b/>
        <sz val="8"/>
        <color rgb="FF000000"/>
        <rFont val="Arial"/>
        <family val="2"/>
      </rPr>
      <t>VU</t>
    </r>
  </si>
  <si>
    <r>
      <t xml:space="preserve">Viag Expr. </t>
    </r>
    <r>
      <rPr>
        <b/>
        <sz val="8"/>
        <color rgb="FF000000"/>
        <rFont val="Arial"/>
        <family val="2"/>
      </rPr>
      <t>VE</t>
    </r>
  </si>
  <si>
    <r>
      <t xml:space="preserve">Pass. Bruto </t>
    </r>
    <r>
      <rPr>
        <b/>
        <sz val="8"/>
        <color rgb="FF000000"/>
        <rFont val="Arial"/>
        <family val="2"/>
      </rPr>
      <t>PB</t>
    </r>
  </si>
  <si>
    <r>
      <t xml:space="preserve">Bald. </t>
    </r>
    <r>
      <rPr>
        <b/>
        <sz val="8"/>
        <color rgb="FF000000"/>
        <rFont val="Arial"/>
        <family val="2"/>
      </rPr>
      <t>B</t>
    </r>
  </si>
  <si>
    <r>
      <t xml:space="preserve">Integração </t>
    </r>
    <r>
      <rPr>
        <b/>
        <sz val="8"/>
        <color rgb="FF000000"/>
        <rFont val="Arial"/>
        <family val="2"/>
      </rPr>
      <t>INT</t>
    </r>
  </si>
  <si>
    <r>
      <t xml:space="preserve">Pass. Transp. </t>
    </r>
    <r>
      <rPr>
        <b/>
        <sz val="8"/>
        <color rgb="FF000000"/>
        <rFont val="Arial"/>
        <family val="2"/>
      </rPr>
      <t>PT</t>
    </r>
  </si>
  <si>
    <r>
      <t xml:space="preserve">Isento       </t>
    </r>
    <r>
      <rPr>
        <b/>
        <sz val="8"/>
        <color rgb="FF000000"/>
        <rFont val="Arial"/>
        <family val="2"/>
      </rPr>
      <t>I</t>
    </r>
  </si>
  <si>
    <r>
      <t xml:space="preserve">Pass. Pagan. </t>
    </r>
    <r>
      <rPr>
        <b/>
        <sz val="8"/>
        <color rgb="FF000000"/>
        <rFont val="Arial"/>
        <family val="2"/>
      </rPr>
      <t>PP</t>
    </r>
  </si>
  <si>
    <r>
      <t xml:space="preserve">Pass. Líq  </t>
    </r>
    <r>
      <rPr>
        <b/>
        <sz val="8"/>
        <color rgb="FF000000"/>
        <rFont val="Arial"/>
        <family val="2"/>
      </rPr>
      <t>PL</t>
    </r>
  </si>
  <si>
    <r>
      <t xml:space="preserve">Receita Ñ Manif. (R$) </t>
    </r>
    <r>
      <rPr>
        <b/>
        <sz val="8"/>
        <color rgb="FF000000"/>
        <rFont val="Arial"/>
        <family val="2"/>
      </rPr>
      <t>R</t>
    </r>
  </si>
  <si>
    <r>
      <t xml:space="preserve">Rod. Útil           </t>
    </r>
    <r>
      <rPr>
        <b/>
        <sz val="8"/>
        <color rgb="FF000000"/>
        <rFont val="Arial"/>
        <family val="2"/>
      </rPr>
      <t>RU</t>
    </r>
  </si>
  <si>
    <r>
      <t xml:space="preserve">Rod Exp.    </t>
    </r>
    <r>
      <rPr>
        <b/>
        <sz val="8"/>
        <color rgb="FF000000"/>
        <rFont val="Arial"/>
        <family val="2"/>
      </rPr>
      <t>RE</t>
    </r>
  </si>
  <si>
    <r>
      <t xml:space="preserve">Viagens Linha </t>
    </r>
    <r>
      <rPr>
        <b/>
        <sz val="8"/>
        <color rgb="FF000000"/>
        <rFont val="Arial"/>
        <family val="2"/>
      </rPr>
      <t>VL</t>
    </r>
  </si>
  <si>
    <r>
      <t xml:space="preserve">Rodagem Linha </t>
    </r>
    <r>
      <rPr>
        <b/>
        <sz val="8"/>
        <color rgb="FF000000"/>
        <rFont val="Arial"/>
        <family val="2"/>
      </rPr>
      <t>RL</t>
    </r>
  </si>
  <si>
    <t>Ve/VI      %</t>
  </si>
  <si>
    <t>VT/PT         %</t>
  </si>
  <si>
    <r>
      <t xml:space="preserve">PT/RI      </t>
    </r>
    <r>
      <rPr>
        <b/>
        <sz val="8"/>
        <color rgb="FF000000"/>
        <rFont val="Arial"/>
        <family val="2"/>
      </rPr>
      <t>IPK</t>
    </r>
  </si>
  <si>
    <t>MES</t>
  </si>
  <si>
    <t>LOTACAO</t>
  </si>
  <si>
    <t>COD_VT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</si>
</sst>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_-;\-* #,##0.00_-;_-* \-??_-;_-@_-"/>
    <numFmt numFmtId="165" formatCode="_(* #,##0.00_);_(* \(#,##0.00\);_(* \-??_);_(@_)"/>
    <numFmt numFmtId="166" formatCode="_(* #,##0_);_(* \(#,##0\);_(* \-??_);_(@_)"/>
    <numFmt numFmtId="167" formatCode="0.0000"/>
    <numFmt numFmtId="168" formatCode="_-* #,##0_-;\-* #,##0_-;_-* \-??_-;_-@_-"/>
    <numFmt numFmtId="169" formatCode="_-&quot;R$ &quot;* #,##0.00_-;&quot;-R$ &quot;* #,##0.00_-;_-&quot;R$ &quot;* \-??_-;_-@_-"/>
    <numFmt numFmtId="170" formatCode="_-* #,##0.000_-;\-* #,##0.000_-;_-* \-??_-;_-@_-"/>
    <numFmt numFmtId="171" formatCode="_-* #,##0_-;\-* #,##0_-;_-* \-_-;_-@_-"/>
    <numFmt numFmtId="172" formatCode="#,##0.000"/>
    <numFmt numFmtId="173" formatCode="#,##0.00_ ;\-#,##0.00\ "/>
  </numFmts>
  <fonts count="17" x14ac:knownFonts="1">
    <font>
      <sz val="11"/>
      <color indexed="8"/>
      <name val="Calibri"/>
      <family val="2"/>
    </font>
    <font>
      <sz val="10"/>
      <color indexed="8"/>
      <name val="MS Sans Serif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i/>
      <sz val="10"/>
      <color indexed="8"/>
      <name val="Arial"/>
      <family val="2"/>
    </font>
    <font>
      <b/>
      <sz val="10"/>
      <color indexed="9"/>
      <name val="Arial"/>
      <family val="2"/>
    </font>
    <font>
      <sz val="11"/>
      <color indexed="8"/>
      <name val="Calibri"/>
      <family val="2"/>
    </font>
    <font>
      <b/>
      <sz val="9"/>
      <color indexed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22"/>
        <bgColor indexed="55"/>
      </patternFill>
    </fill>
    <fill>
      <patternFill patternType="solid">
        <fgColor indexed="63"/>
        <bgColor indexed="59"/>
      </patternFill>
    </fill>
    <fill>
      <patternFill patternType="solid">
        <fgColor indexed="44"/>
        <bgColor indexed="2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9" fontId="12" fillId="0" borderId="0" applyFill="0" applyBorder="0" applyAlignment="0" applyProtection="0"/>
    <xf numFmtId="0" fontId="1" fillId="0" borderId="0"/>
    <xf numFmtId="9" fontId="12" fillId="0" borderId="0" applyFill="0" applyBorder="0" applyAlignment="0" applyProtection="0"/>
    <xf numFmtId="164" fontId="12" fillId="0" borderId="0" applyFill="0" applyBorder="0" applyAlignment="0" applyProtection="0"/>
  </cellStyleXfs>
  <cellXfs count="174">
    <xf numFmtId="0" fontId="0" fillId="0" borderId="0" xfId="0"/>
    <xf numFmtId="0" fontId="3" fillId="0" borderId="1" xfId="2" applyFont="1" applyBorder="1" applyAlignment="1">
      <alignment horizontal="left" vertical="center" wrapText="1" indent="1"/>
    </xf>
    <xf numFmtId="0" fontId="3" fillId="0" borderId="2" xfId="2" applyFont="1" applyBorder="1" applyAlignment="1">
      <alignment horizontal="left" vertical="center" wrapText="1" indent="1"/>
    </xf>
    <xf numFmtId="0" fontId="4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0" fontId="6" fillId="0" borderId="0" xfId="0" applyFont="1"/>
    <xf numFmtId="0" fontId="6" fillId="0" borderId="2" xfId="0" applyFont="1" applyBorder="1" applyAlignment="1">
      <alignment horizontal="center" vertical="center" wrapText="1"/>
    </xf>
    <xf numFmtId="168" fontId="6" fillId="0" borderId="0" xfId="0" applyNumberFormat="1" applyFont="1"/>
    <xf numFmtId="164" fontId="6" fillId="0" borderId="0" xfId="0" applyNumberFormat="1" applyFont="1"/>
    <xf numFmtId="172" fontId="6" fillId="0" borderId="0" xfId="0" applyNumberFormat="1" applyFont="1"/>
    <xf numFmtId="168" fontId="6" fillId="0" borderId="2" xfId="0" applyNumberFormat="1" applyFont="1" applyBorder="1"/>
    <xf numFmtId="168" fontId="0" fillId="0" borderId="0" xfId="0" applyNumberFormat="1"/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center"/>
    </xf>
    <xf numFmtId="0" fontId="9" fillId="0" borderId="0" xfId="0" applyFont="1"/>
    <xf numFmtId="2" fontId="9" fillId="0" borderId="0" xfId="0" applyNumberFormat="1" applyFont="1"/>
    <xf numFmtId="3" fontId="9" fillId="0" borderId="0" xfId="0" applyNumberFormat="1" applyFont="1"/>
    <xf numFmtId="0" fontId="5" fillId="0" borderId="0" xfId="0" applyFont="1"/>
    <xf numFmtId="4" fontId="5" fillId="0" borderId="0" xfId="0" applyNumberFormat="1" applyFont="1"/>
    <xf numFmtId="9" fontId="9" fillId="0" borderId="0" xfId="0" applyNumberFormat="1" applyFont="1"/>
    <xf numFmtId="3" fontId="5" fillId="0" borderId="10" xfId="0" applyNumberFormat="1" applyFont="1" applyBorder="1" applyAlignment="1">
      <alignment horizontal="center"/>
    </xf>
    <xf numFmtId="0" fontId="3" fillId="3" borderId="11" xfId="0" applyFont="1" applyFill="1" applyBorder="1"/>
    <xf numFmtId="0" fontId="10" fillId="0" borderId="11" xfId="0" applyFont="1" applyBorder="1"/>
    <xf numFmtId="168" fontId="3" fillId="0" borderId="2" xfId="4" applyNumberFormat="1" applyFont="1" applyBorder="1"/>
    <xf numFmtId="168" fontId="3" fillId="3" borderId="2" xfId="4" applyNumberFormat="1" applyFont="1" applyFill="1" applyBorder="1"/>
    <xf numFmtId="0" fontId="3" fillId="0" borderId="2" xfId="0" applyFont="1" applyBorder="1" applyAlignment="1">
      <alignment horizontal="center"/>
    </xf>
    <xf numFmtId="0" fontId="11" fillId="4" borderId="13" xfId="0" applyFont="1" applyFill="1" applyBorder="1"/>
    <xf numFmtId="0" fontId="11" fillId="4" borderId="14" xfId="0" applyFont="1" applyFill="1" applyBorder="1"/>
    <xf numFmtId="3" fontId="11" fillId="4" borderId="14" xfId="0" applyNumberFormat="1" applyFont="1" applyFill="1" applyBorder="1"/>
    <xf numFmtId="168" fontId="13" fillId="2" borderId="2" xfId="4" applyNumberFormat="1" applyFont="1" applyFill="1" applyBorder="1" applyAlignment="1">
      <alignment vertical="center" wrapText="1"/>
    </xf>
    <xf numFmtId="169" fontId="13" fillId="2" borderId="2" xfId="1" applyFont="1" applyFill="1" applyBorder="1" applyAlignment="1">
      <alignment vertical="center" wrapText="1"/>
    </xf>
    <xf numFmtId="10" fontId="13" fillId="2" borderId="2" xfId="4" applyNumberFormat="1" applyFont="1" applyFill="1" applyBorder="1" applyAlignment="1">
      <alignment vertical="center" wrapText="1"/>
    </xf>
    <xf numFmtId="2" fontId="13" fillId="2" borderId="2" xfId="4" applyNumberFormat="1" applyFont="1" applyFill="1" applyBorder="1" applyAlignment="1">
      <alignment vertical="center" wrapText="1"/>
    </xf>
    <xf numFmtId="168" fontId="14" fillId="0" borderId="0" xfId="0" applyNumberFormat="1" applyFont="1"/>
    <xf numFmtId="0" fontId="14" fillId="0" borderId="0" xfId="0" applyFont="1"/>
    <xf numFmtId="10" fontId="13" fillId="2" borderId="2" xfId="3" applyNumberFormat="1" applyFont="1" applyFill="1" applyBorder="1" applyAlignment="1">
      <alignment vertical="center" wrapText="1"/>
    </xf>
    <xf numFmtId="171" fontId="13" fillId="2" borderId="2" xfId="4" applyNumberFormat="1" applyFont="1" applyFill="1" applyBorder="1" applyAlignment="1">
      <alignment vertical="center" wrapText="1"/>
    </xf>
    <xf numFmtId="164" fontId="13" fillId="2" borderId="2" xfId="4" applyFont="1" applyFill="1" applyBorder="1" applyAlignment="1">
      <alignment vertical="center" wrapText="1"/>
    </xf>
    <xf numFmtId="0" fontId="14" fillId="5" borderId="15" xfId="0" applyFont="1" applyFill="1" applyBorder="1" applyAlignment="1">
      <alignment vertical="center"/>
    </xf>
    <xf numFmtId="168" fontId="15" fillId="5" borderId="2" xfId="0" applyNumberFormat="1" applyFont="1" applyFill="1" applyBorder="1" applyAlignment="1">
      <alignment vertical="center" wrapText="1"/>
    </xf>
    <xf numFmtId="4" fontId="15" fillId="5" borderId="2" xfId="0" applyNumberFormat="1" applyFont="1" applyFill="1" applyBorder="1" applyAlignment="1">
      <alignment vertical="center" wrapText="1"/>
    </xf>
    <xf numFmtId="10" fontId="15" fillId="5" borderId="2" xfId="3" applyNumberFormat="1" applyFont="1" applyFill="1" applyBorder="1" applyAlignment="1">
      <alignment vertical="center" wrapText="1"/>
    </xf>
    <xf numFmtId="164" fontId="15" fillId="5" borderId="2" xfId="4" applyFont="1" applyFill="1" applyBorder="1" applyAlignment="1">
      <alignment vertical="center" wrapText="1"/>
    </xf>
    <xf numFmtId="168" fontId="14" fillId="0" borderId="2" xfId="4" applyNumberFormat="1" applyFont="1" applyBorder="1" applyAlignment="1">
      <alignment vertical="center" wrapText="1"/>
    </xf>
    <xf numFmtId="169" fontId="14" fillId="0" borderId="2" xfId="1" applyFont="1" applyBorder="1" applyAlignment="1">
      <alignment vertical="center" wrapText="1"/>
    </xf>
    <xf numFmtId="170" fontId="14" fillId="0" borderId="2" xfId="4" applyNumberFormat="1" applyFont="1" applyBorder="1" applyAlignment="1">
      <alignment vertical="center" wrapText="1"/>
    </xf>
    <xf numFmtId="0" fontId="14" fillId="0" borderId="15" xfId="0" applyFont="1" applyBorder="1" applyAlignment="1">
      <alignment vertical="center" wrapText="1"/>
    </xf>
    <xf numFmtId="10" fontId="14" fillId="0" borderId="2" xfId="3" applyNumberFormat="1" applyFont="1" applyBorder="1" applyAlignment="1">
      <alignment vertical="center" wrapText="1"/>
    </xf>
    <xf numFmtId="164" fontId="14" fillId="0" borderId="2" xfId="4" applyFont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4" fillId="0" borderId="16" xfId="0" applyFont="1" applyBorder="1" applyAlignment="1">
      <alignment vertical="center"/>
    </xf>
    <xf numFmtId="0" fontId="14" fillId="0" borderId="17" xfId="0" applyFont="1" applyBorder="1" applyAlignment="1">
      <alignment vertical="center" wrapText="1"/>
    </xf>
    <xf numFmtId="39" fontId="3" fillId="3" borderId="2" xfId="0" applyNumberFormat="1" applyFont="1" applyFill="1" applyBorder="1" applyAlignment="1">
      <alignment horizontal="center"/>
    </xf>
    <xf numFmtId="14" fontId="0" fillId="0" borderId="0" xfId="0" applyNumberFormat="1"/>
    <xf numFmtId="14" fontId="5" fillId="0" borderId="0" xfId="0" applyNumberFormat="1" applyFont="1"/>
    <xf numFmtId="14" fontId="5" fillId="0" borderId="0" xfId="0" applyNumberFormat="1" applyFont="1" applyAlignment="1">
      <alignment horizontal="left"/>
    </xf>
    <xf numFmtId="4" fontId="11" fillId="4" borderId="14" xfId="0" applyNumberFormat="1" applyFont="1" applyFill="1" applyBorder="1"/>
    <xf numFmtId="165" fontId="5" fillId="0" borderId="5" xfId="4" applyNumberFormat="1" applyFont="1" applyFill="1" applyBorder="1" applyAlignment="1">
      <alignment horizontal="center" vertical="center" wrapText="1"/>
    </xf>
    <xf numFmtId="165" fontId="2" fillId="0" borderId="1" xfId="4" applyNumberFormat="1" applyFont="1" applyFill="1" applyBorder="1" applyAlignment="1">
      <alignment horizontal="center" vertical="center" wrapText="1"/>
    </xf>
    <xf numFmtId="39" fontId="3" fillId="0" borderId="1" xfId="4" applyNumberFormat="1" applyFont="1" applyFill="1" applyBorder="1" applyAlignment="1">
      <alignment horizontal="center" vertical="center" wrapText="1"/>
    </xf>
    <xf numFmtId="173" fontId="3" fillId="0" borderId="1" xfId="4" applyNumberFormat="1" applyFont="1" applyFill="1" applyBorder="1" applyAlignment="1">
      <alignment horizontal="center" vertical="center" wrapText="1"/>
    </xf>
    <xf numFmtId="1" fontId="3" fillId="0" borderId="1" xfId="4" applyNumberFormat="1" applyFont="1" applyFill="1" applyBorder="1" applyAlignment="1">
      <alignment horizontal="center" vertical="center" wrapText="1"/>
    </xf>
    <xf numFmtId="165" fontId="5" fillId="0" borderId="6" xfId="4" applyNumberFormat="1" applyFont="1" applyFill="1" applyBorder="1" applyAlignment="1">
      <alignment horizontal="center" vertical="center" wrapText="1"/>
    </xf>
    <xf numFmtId="165" fontId="2" fillId="0" borderId="8" xfId="4" applyNumberFormat="1" applyFont="1" applyFill="1" applyBorder="1" applyAlignment="1">
      <alignment horizontal="center" vertical="center" wrapText="1"/>
    </xf>
    <xf numFmtId="39" fontId="3" fillId="0" borderId="2" xfId="4" applyNumberFormat="1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2" fillId="0" borderId="16" xfId="2" applyFont="1" applyBorder="1" applyAlignment="1">
      <alignment horizontal="center" vertical="center" wrapText="1"/>
    </xf>
    <xf numFmtId="165" fontId="5" fillId="0" borderId="16" xfId="4" applyNumberFormat="1" applyFont="1" applyFill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2" fillId="0" borderId="3" xfId="2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right" vertical="center" wrapText="1" indent="1"/>
    </xf>
    <xf numFmtId="0" fontId="9" fillId="0" borderId="0" xfId="0" applyFont="1" applyAlignment="1">
      <alignment horizontal="right" vertical="center" wrapText="1"/>
    </xf>
    <xf numFmtId="165" fontId="9" fillId="0" borderId="0" xfId="4" applyNumberFormat="1" applyFont="1" applyFill="1" applyAlignment="1">
      <alignment horizontal="right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165" fontId="9" fillId="0" borderId="0" xfId="4" applyNumberFormat="1" applyFont="1" applyFill="1" applyAlignment="1">
      <alignment horizontal="center" vertical="center" wrapText="1"/>
    </xf>
    <xf numFmtId="166" fontId="9" fillId="0" borderId="0" xfId="4" applyNumberFormat="1" applyFont="1" applyFill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39" fontId="3" fillId="6" borderId="1" xfId="4" applyNumberFormat="1" applyFont="1" applyFill="1" applyBorder="1" applyAlignment="1">
      <alignment horizontal="center" vertical="center" wrapText="1"/>
    </xf>
    <xf numFmtId="173" fontId="3" fillId="6" borderId="1" xfId="4" applyNumberFormat="1" applyFont="1" applyFill="1" applyBorder="1" applyAlignment="1">
      <alignment horizontal="center" vertical="center" wrapText="1"/>
    </xf>
    <xf numFmtId="0" fontId="3" fillId="0" borderId="17" xfId="2" applyFont="1" applyBorder="1" applyAlignment="1">
      <alignment horizontal="center" vertical="center" wrapText="1"/>
    </xf>
    <xf numFmtId="0" fontId="2" fillId="0" borderId="5" xfId="2" applyFont="1" applyBorder="1" applyAlignment="1">
      <alignment horizontal="center" vertical="center" wrapText="1"/>
    </xf>
    <xf numFmtId="1" fontId="0" fillId="0" borderId="16" xfId="0" applyNumberFormat="1" applyBorder="1" applyAlignment="1">
      <alignment horizontal="center" vertical="center" wrapText="1"/>
    </xf>
    <xf numFmtId="1" fontId="3" fillId="0" borderId="3" xfId="4" applyNumberFormat="1" applyFont="1" applyFill="1" applyBorder="1" applyAlignment="1">
      <alignment horizontal="center" vertical="center" wrapText="1"/>
    </xf>
    <xf numFmtId="1" fontId="3" fillId="0" borderId="18" xfId="4" applyNumberFormat="1" applyFont="1" applyFill="1" applyBorder="1" applyAlignment="1">
      <alignment horizontal="center" vertical="center" wrapText="1"/>
    </xf>
    <xf numFmtId="2" fontId="3" fillId="0" borderId="5" xfId="2" applyNumberFormat="1" applyFont="1" applyBorder="1" applyAlignment="1">
      <alignment horizontal="right" vertical="center" wrapText="1"/>
    </xf>
    <xf numFmtId="1" fontId="0" fillId="0" borderId="5" xfId="0" applyNumberFormat="1" applyBorder="1" applyAlignment="1">
      <alignment horizontal="right" vertical="center" wrapText="1"/>
    </xf>
    <xf numFmtId="1" fontId="3" fillId="0" borderId="23" xfId="2" applyNumberFormat="1" applyFont="1" applyBorder="1" applyAlignment="1">
      <alignment horizontal="center" vertical="center" wrapText="1"/>
    </xf>
    <xf numFmtId="1" fontId="9" fillId="0" borderId="16" xfId="0" applyNumberFormat="1" applyFont="1" applyBorder="1" applyAlignment="1">
      <alignment horizontal="center" vertical="center" wrapText="1"/>
    </xf>
    <xf numFmtId="1" fontId="3" fillId="0" borderId="1" xfId="2" applyNumberFormat="1" applyFont="1" applyBorder="1" applyAlignment="1">
      <alignment horizontal="left" vertical="center" wrapText="1" indent="2"/>
    </xf>
    <xf numFmtId="1" fontId="3" fillId="0" borderId="2" xfId="2" applyNumberFormat="1" applyFont="1" applyBorder="1" applyAlignment="1">
      <alignment horizontal="left" vertical="center" wrapText="1" indent="2"/>
    </xf>
    <xf numFmtId="2" fontId="3" fillId="0" borderId="16" xfId="2" applyNumberFormat="1" applyFont="1" applyBorder="1" applyAlignment="1">
      <alignment horizontal="right" vertical="center" wrapText="1"/>
    </xf>
    <xf numFmtId="1" fontId="0" fillId="0" borderId="16" xfId="0" applyNumberFormat="1" applyBorder="1" applyAlignment="1">
      <alignment horizontal="right" vertical="center" wrapText="1"/>
    </xf>
    <xf numFmtId="1" fontId="3" fillId="0" borderId="4" xfId="2" applyNumberFormat="1" applyFont="1" applyBorder="1" applyAlignment="1">
      <alignment horizontal="right" vertical="center" wrapText="1"/>
    </xf>
    <xf numFmtId="1" fontId="3" fillId="0" borderId="24" xfId="2" applyNumberFormat="1" applyFont="1" applyBorder="1" applyAlignment="1">
      <alignment horizontal="right" vertical="center" wrapText="1"/>
    </xf>
    <xf numFmtId="166" fontId="2" fillId="0" borderId="23" xfId="4" applyNumberFormat="1" applyFont="1" applyFill="1" applyBorder="1" applyAlignment="1">
      <alignment horizontal="center" vertical="center" wrapText="1"/>
    </xf>
    <xf numFmtId="1" fontId="3" fillId="0" borderId="16" xfId="4" applyNumberFormat="1" applyFont="1" applyFill="1" applyBorder="1" applyAlignment="1">
      <alignment horizontal="right" vertical="center" wrapText="1"/>
    </xf>
    <xf numFmtId="1" fontId="3" fillId="0" borderId="16" xfId="4" applyNumberFormat="1" applyFont="1" applyFill="1" applyBorder="1" applyAlignment="1">
      <alignment horizontal="right" vertical="center"/>
    </xf>
    <xf numFmtId="165" fontId="2" fillId="0" borderId="5" xfId="4" applyNumberFormat="1" applyFont="1" applyFill="1" applyBorder="1" applyAlignment="1">
      <alignment horizontal="center" vertical="center" wrapText="1"/>
    </xf>
    <xf numFmtId="2" fontId="3" fillId="0" borderId="16" xfId="4" applyNumberFormat="1" applyFont="1" applyFill="1" applyBorder="1" applyAlignment="1">
      <alignment horizontal="right" vertical="center" wrapText="1"/>
    </xf>
    <xf numFmtId="166" fontId="5" fillId="0" borderId="16" xfId="4" applyNumberFormat="1" applyFont="1" applyFill="1" applyBorder="1" applyAlignment="1">
      <alignment horizontal="center" vertical="center" wrapText="1"/>
    </xf>
    <xf numFmtId="165" fontId="4" fillId="6" borderId="16" xfId="0" applyNumberFormat="1" applyFont="1" applyFill="1" applyBorder="1" applyAlignment="1">
      <alignment horizontal="center" vertical="center" wrapText="1"/>
    </xf>
    <xf numFmtId="166" fontId="4" fillId="6" borderId="16" xfId="0" applyNumberFormat="1" applyFont="1" applyFill="1" applyBorder="1" applyAlignment="1">
      <alignment horizontal="center" vertical="center" wrapText="1"/>
    </xf>
    <xf numFmtId="2" fontId="4" fillId="6" borderId="16" xfId="0" applyNumberFormat="1" applyFont="1" applyFill="1" applyBorder="1" applyAlignment="1">
      <alignment horizontal="center" vertical="center"/>
    </xf>
    <xf numFmtId="39" fontId="0" fillId="6" borderId="22" xfId="0" applyNumberFormat="1" applyFill="1" applyBorder="1" applyAlignment="1">
      <alignment vertical="center" wrapText="1"/>
    </xf>
    <xf numFmtId="1" fontId="0" fillId="6" borderId="22" xfId="0" applyNumberFormat="1" applyFill="1" applyBorder="1" applyAlignment="1">
      <alignment vertical="center" wrapText="1"/>
    </xf>
    <xf numFmtId="39" fontId="0" fillId="6" borderId="16" xfId="0" applyNumberFormat="1" applyFill="1" applyBorder="1" applyAlignment="1">
      <alignment vertical="center" wrapText="1"/>
    </xf>
    <xf numFmtId="1" fontId="0" fillId="6" borderId="16" xfId="0" applyNumberFormat="1" applyFill="1" applyBorder="1" applyAlignment="1">
      <alignment vertical="center" wrapText="1"/>
    </xf>
    <xf numFmtId="167" fontId="0" fillId="6" borderId="16" xfId="0" applyNumberFormat="1" applyFill="1" applyBorder="1" applyAlignment="1">
      <alignment vertical="center" wrapText="1"/>
    </xf>
    <xf numFmtId="168" fontId="13" fillId="2" borderId="2" xfId="0" applyNumberFormat="1" applyFont="1" applyFill="1" applyBorder="1" applyAlignment="1">
      <alignment vertical="center" wrapText="1"/>
    </xf>
    <xf numFmtId="10" fontId="13" fillId="2" borderId="2" xfId="0" applyNumberFormat="1" applyFont="1" applyFill="1" applyBorder="1" applyAlignment="1">
      <alignment vertical="center" wrapText="1"/>
    </xf>
    <xf numFmtId="10" fontId="13" fillId="2" borderId="0" xfId="0" applyNumberFormat="1" applyFont="1" applyFill="1" applyAlignment="1">
      <alignment vertical="center" wrapText="1"/>
    </xf>
    <xf numFmtId="2" fontId="13" fillId="2" borderId="2" xfId="0" applyNumberFormat="1" applyFont="1" applyFill="1" applyBorder="1" applyAlignment="1">
      <alignment vertical="center" wrapText="1"/>
    </xf>
    <xf numFmtId="164" fontId="3" fillId="3" borderId="12" xfId="4" applyFont="1" applyFill="1" applyBorder="1"/>
    <xf numFmtId="164" fontId="3" fillId="0" borderId="12" xfId="4" applyFont="1" applyBorder="1"/>
    <xf numFmtId="168" fontId="14" fillId="0" borderId="2" xfId="4" applyNumberFormat="1" applyFont="1" applyFill="1" applyBorder="1" applyAlignment="1">
      <alignment vertical="center" wrapText="1"/>
    </xf>
    <xf numFmtId="164" fontId="14" fillId="0" borderId="2" xfId="4" applyFont="1" applyFill="1" applyBorder="1" applyAlignment="1">
      <alignment vertical="center" wrapText="1"/>
    </xf>
    <xf numFmtId="10" fontId="14" fillId="0" borderId="2" xfId="3" applyNumberFormat="1" applyFont="1" applyFill="1" applyBorder="1" applyAlignment="1">
      <alignment vertical="center" wrapText="1"/>
    </xf>
    <xf numFmtId="0" fontId="14" fillId="0" borderId="16" xfId="0" applyFont="1" applyBorder="1" applyAlignment="1" applyProtection="1">
      <alignment vertical="center"/>
      <protection locked="0"/>
    </xf>
    <xf numFmtId="0" fontId="14" fillId="0" borderId="17" xfId="0" applyFont="1" applyBorder="1" applyAlignment="1" applyProtection="1">
      <alignment vertical="center" wrapText="1"/>
      <protection locked="0"/>
    </xf>
    <xf numFmtId="168" fontId="14" fillId="0" borderId="2" xfId="4" applyNumberFormat="1" applyFont="1" applyFill="1" applyBorder="1" applyAlignment="1" applyProtection="1">
      <alignment vertical="center" wrapText="1"/>
      <protection locked="0"/>
    </xf>
    <xf numFmtId="168" fontId="14" fillId="0" borderId="2" xfId="4" applyNumberFormat="1" applyFont="1" applyFill="1" applyBorder="1" applyAlignment="1" applyProtection="1">
      <alignment horizontal="center" vertical="center" wrapText="1"/>
      <protection locked="0"/>
    </xf>
    <xf numFmtId="169" fontId="14" fillId="0" borderId="2" xfId="4" applyNumberFormat="1" applyFont="1" applyFill="1" applyBorder="1" applyAlignment="1" applyProtection="1">
      <alignment vertical="center" wrapText="1"/>
      <protection locked="0"/>
    </xf>
    <xf numFmtId="164" fontId="14" fillId="0" borderId="2" xfId="1" applyNumberFormat="1" applyFont="1" applyFill="1" applyBorder="1" applyAlignment="1" applyProtection="1">
      <alignment vertical="center" wrapText="1"/>
      <protection locked="0"/>
    </xf>
    <xf numFmtId="164" fontId="14" fillId="0" borderId="2" xfId="4" applyFont="1" applyFill="1" applyBorder="1" applyAlignment="1" applyProtection="1">
      <alignment vertical="center" wrapText="1"/>
      <protection locked="0"/>
    </xf>
    <xf numFmtId="10" fontId="14" fillId="0" borderId="2" xfId="3" applyNumberFormat="1" applyFont="1" applyFill="1" applyBorder="1" applyAlignment="1" applyProtection="1">
      <alignment vertical="center" wrapText="1"/>
      <protection locked="0"/>
    </xf>
    <xf numFmtId="164" fontId="15" fillId="0" borderId="2" xfId="0" applyNumberFormat="1" applyFont="1" applyBorder="1" applyAlignment="1" applyProtection="1">
      <alignment vertical="center"/>
      <protection locked="0"/>
    </xf>
    <xf numFmtId="0" fontId="6" fillId="0" borderId="15" xfId="0" applyFont="1" applyBorder="1" applyAlignment="1">
      <alignment vertical="center" wrapText="1"/>
    </xf>
    <xf numFmtId="0" fontId="14" fillId="7" borderId="16" xfId="0" applyFont="1" applyFill="1" applyBorder="1" applyAlignment="1">
      <alignment vertical="center"/>
    </xf>
    <xf numFmtId="0" fontId="14" fillId="7" borderId="15" xfId="0" applyFont="1" applyFill="1" applyBorder="1" applyAlignment="1">
      <alignment vertical="center" wrapText="1"/>
    </xf>
    <xf numFmtId="168" fontId="14" fillId="7" borderId="2" xfId="4" applyNumberFormat="1" applyFont="1" applyFill="1" applyBorder="1" applyAlignment="1">
      <alignment vertical="center" wrapText="1"/>
    </xf>
    <xf numFmtId="168" fontId="14" fillId="7" borderId="2" xfId="4" applyNumberFormat="1" applyFont="1" applyFill="1" applyBorder="1" applyAlignment="1">
      <alignment horizontal="center" vertical="center" wrapText="1"/>
    </xf>
    <xf numFmtId="169" fontId="14" fillId="7" borderId="2" xfId="4" applyNumberFormat="1" applyFont="1" applyFill="1" applyBorder="1" applyAlignment="1">
      <alignment vertical="center" wrapText="1"/>
    </xf>
    <xf numFmtId="164" fontId="14" fillId="7" borderId="2" xfId="1" applyNumberFormat="1" applyFont="1" applyFill="1" applyBorder="1" applyAlignment="1">
      <alignment vertical="center" wrapText="1"/>
    </xf>
    <xf numFmtId="164" fontId="14" fillId="7" borderId="2" xfId="4" applyFont="1" applyFill="1" applyBorder="1" applyAlignment="1">
      <alignment vertical="center" wrapText="1"/>
    </xf>
    <xf numFmtId="10" fontId="14" fillId="7" borderId="2" xfId="3" applyNumberFormat="1" applyFont="1" applyFill="1" applyBorder="1" applyAlignment="1">
      <alignment vertical="center" wrapText="1"/>
    </xf>
    <xf numFmtId="164" fontId="15" fillId="7" borderId="2" xfId="0" applyNumberFormat="1" applyFont="1" applyFill="1" applyBorder="1" applyAlignment="1">
      <alignment vertical="center"/>
    </xf>
    <xf numFmtId="169" fontId="14" fillId="0" borderId="2" xfId="1" applyFont="1" applyFill="1" applyBorder="1" applyAlignment="1">
      <alignment vertical="center" wrapText="1"/>
    </xf>
    <xf numFmtId="170" fontId="14" fillId="0" borderId="2" xfId="4" applyNumberFormat="1" applyFont="1" applyFill="1" applyBorder="1" applyAlignment="1">
      <alignment vertical="center" wrapText="1"/>
    </xf>
    <xf numFmtId="166" fontId="5" fillId="0" borderId="2" xfId="4" applyNumberFormat="1" applyFont="1" applyFill="1" applyBorder="1" applyAlignment="1">
      <alignment horizontal="center" vertical="center" wrapText="1"/>
    </xf>
    <xf numFmtId="165" fontId="5" fillId="0" borderId="2" xfId="4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 wrapText="1"/>
    </xf>
    <xf numFmtId="0" fontId="2" fillId="0" borderId="18" xfId="2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13" fillId="2" borderId="16" xfId="0" applyFont="1" applyFill="1" applyBorder="1" applyAlignment="1">
      <alignment horizontal="left" vertical="center"/>
    </xf>
    <xf numFmtId="0" fontId="15" fillId="5" borderId="16" xfId="0" applyFont="1" applyFill="1" applyBorder="1" applyAlignment="1">
      <alignment horizontal="left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5" fillId="0" borderId="13" xfId="0" applyFont="1" applyBorder="1" applyAlignment="1">
      <alignment horizontal="center" vertical="center"/>
    </xf>
    <xf numFmtId="2" fontId="5" fillId="0" borderId="14" xfId="0" applyNumberFormat="1" applyFont="1" applyBorder="1" applyAlignment="1">
      <alignment horizontal="center" vertical="center"/>
    </xf>
    <xf numFmtId="3" fontId="5" fillId="0" borderId="19" xfId="0" applyNumberFormat="1" applyFont="1" applyBorder="1" applyAlignment="1">
      <alignment horizontal="center"/>
    </xf>
    <xf numFmtId="4" fontId="5" fillId="0" borderId="20" xfId="0" applyNumberFormat="1" applyFont="1" applyBorder="1" applyAlignment="1">
      <alignment horizontal="center" vertical="center"/>
    </xf>
    <xf numFmtId="0" fontId="13" fillId="2" borderId="16" xfId="0" applyFont="1" applyFill="1" applyBorder="1" applyAlignment="1">
      <alignment horizontal="left" vertical="center" wrapText="1"/>
    </xf>
    <xf numFmtId="168" fontId="14" fillId="0" borderId="2" xfId="0" applyNumberFormat="1" applyFont="1" applyBorder="1" applyAlignment="1">
      <alignment horizontal="center" vertical="center" wrapText="1"/>
    </xf>
    <xf numFmtId="168" fontId="14" fillId="2" borderId="15" xfId="0" applyNumberFormat="1" applyFont="1" applyFill="1" applyBorder="1" applyAlignment="1">
      <alignment horizontal="center" vertical="center" wrapText="1"/>
    </xf>
    <xf numFmtId="168" fontId="15" fillId="0" borderId="2" xfId="0" applyNumberFormat="1" applyFont="1" applyBorder="1" applyAlignment="1" applyProtection="1">
      <alignment horizontal="center" vertical="center" wrapText="1"/>
      <protection locked="0"/>
    </xf>
    <xf numFmtId="168" fontId="15" fillId="7" borderId="2" xfId="0" applyNumberFormat="1" applyFont="1" applyFill="1" applyBorder="1" applyAlignment="1">
      <alignment horizontal="center" vertical="center" wrapText="1"/>
    </xf>
    <xf numFmtId="168" fontId="14" fillId="2" borderId="15" xfId="0" applyNumberFormat="1" applyFont="1" applyFill="1" applyBorder="1" applyAlignment="1">
      <alignment vertical="center"/>
    </xf>
  </cellXfs>
  <cellStyles count="5">
    <cellStyle name="Moeda" xfId="1" builtinId="4"/>
    <cellStyle name="Normal" xfId="0" builtinId="0"/>
    <cellStyle name="Normal_Plan1" xfId="2" xr:uid="{00000000-0005-0000-0000-000002000000}"/>
    <cellStyle name="Porcentagem" xfId="3" builtinId="5"/>
    <cellStyle name="Vírgula" xfId="4" builtinId="3"/>
  </cellStyles>
  <dxfs count="4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6699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CC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2B2B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AH86"/>
  <sheetViews>
    <sheetView topLeftCell="N1" zoomScale="80" zoomScaleNormal="80" workbookViewId="0">
      <selection activeCell="AI11" sqref="AI11"/>
    </sheetView>
  </sheetViews>
  <sheetFormatPr defaultColWidth="67.85546875" defaultRowHeight="15" x14ac:dyDescent="0.25"/>
  <cols>
    <col min="1" max="2" width="5.5703125" style="82" customWidth="1"/>
    <col min="3" max="3" width="6" style="82" bestFit="1" customWidth="1"/>
    <col min="4" max="4" width="8.5703125" style="83" bestFit="1" customWidth="1"/>
    <col min="5" max="5" width="3.5703125" style="80" bestFit="1" customWidth="1"/>
    <col min="6" max="6" width="66.7109375" style="83" bestFit="1" customWidth="1"/>
    <col min="7" max="7" width="8.5703125" style="82" customWidth="1"/>
    <col min="8" max="8" width="8.7109375" style="81" customWidth="1"/>
    <col min="9" max="9" width="11" style="84" customWidth="1"/>
    <col min="10" max="10" width="10.7109375" style="84" customWidth="1"/>
    <col min="11" max="11" width="17.140625" style="84" bestFit="1" customWidth="1"/>
    <col min="12" max="12" width="16.28515625" style="84" bestFit="1" customWidth="1"/>
    <col min="13" max="13" width="11.42578125" style="84" bestFit="1" customWidth="1"/>
    <col min="14" max="14" width="12" style="85" bestFit="1" customWidth="1"/>
    <col min="15" max="15" width="10.7109375" style="85" bestFit="1" customWidth="1"/>
    <col min="16" max="16" width="12" style="85" bestFit="1" customWidth="1"/>
    <col min="17" max="17" width="9.85546875" style="85" bestFit="1" customWidth="1"/>
    <col min="18" max="18" width="10.28515625" style="85" customWidth="1"/>
    <col min="19" max="19" width="9.85546875" style="85" bestFit="1" customWidth="1"/>
    <col min="20" max="20" width="12.7109375" style="81" bestFit="1" customWidth="1"/>
    <col min="21" max="21" width="11.7109375" style="80" bestFit="1" customWidth="1"/>
    <col min="22" max="22" width="13.5703125" style="80" bestFit="1" customWidth="1"/>
    <col min="23" max="23" width="10.85546875" style="80" bestFit="1" customWidth="1"/>
    <col min="24" max="24" width="23.42578125" style="86" customWidth="1"/>
    <col min="25" max="25" width="23.7109375" style="86" customWidth="1"/>
    <col min="26" max="26" width="15.85546875" style="86" customWidth="1"/>
    <col min="27" max="27" width="15.140625" style="86" customWidth="1"/>
    <col min="28" max="28" width="21.42578125" style="86" customWidth="1"/>
    <col min="29" max="29" width="10.28515625" style="5" customWidth="1"/>
    <col min="30" max="30" width="9.140625" style="4" bestFit="1" customWidth="1"/>
    <col min="31" max="31" width="9.28515625" style="4" bestFit="1" customWidth="1"/>
    <col min="32" max="32" width="9.42578125" style="4" bestFit="1" customWidth="1"/>
    <col min="33" max="33" width="7.85546875" style="4" bestFit="1" customWidth="1"/>
    <col min="34" max="34" width="8.5703125" style="4" bestFit="1" customWidth="1"/>
    <col min="35" max="16384" width="67.85546875" style="4"/>
  </cols>
  <sheetData>
    <row r="1" spans="1:34" ht="16.899999999999999" customHeight="1" x14ac:dyDescent="0.25">
      <c r="A1" s="71" t="s">
        <v>198</v>
      </c>
      <c r="B1" s="71" t="s">
        <v>277</v>
      </c>
      <c r="C1" s="70" t="s">
        <v>199</v>
      </c>
      <c r="D1" s="70" t="s">
        <v>56</v>
      </c>
      <c r="E1" s="71" t="s">
        <v>0</v>
      </c>
      <c r="F1" s="70" t="s">
        <v>188</v>
      </c>
      <c r="G1" s="70" t="s">
        <v>187</v>
      </c>
      <c r="H1" s="71" t="s">
        <v>186</v>
      </c>
      <c r="I1" s="72" t="s">
        <v>2</v>
      </c>
      <c r="J1" s="72" t="s">
        <v>3</v>
      </c>
      <c r="K1" s="72" t="s">
        <v>189</v>
      </c>
      <c r="L1" s="72" t="s">
        <v>190</v>
      </c>
      <c r="M1" s="72" t="s">
        <v>278</v>
      </c>
      <c r="N1" s="70" t="s">
        <v>203</v>
      </c>
      <c r="O1" s="70" t="s">
        <v>204</v>
      </c>
      <c r="P1" s="70" t="s">
        <v>205</v>
      </c>
      <c r="Q1" s="71" t="s">
        <v>202</v>
      </c>
      <c r="R1" s="71" t="s">
        <v>200</v>
      </c>
      <c r="S1" s="71" t="s">
        <v>201</v>
      </c>
      <c r="T1" s="109" t="s">
        <v>206</v>
      </c>
      <c r="U1" s="109" t="s">
        <v>207</v>
      </c>
      <c r="V1" s="109" t="s">
        <v>208</v>
      </c>
      <c r="W1" s="109" t="s">
        <v>209</v>
      </c>
      <c r="X1" s="109" t="s">
        <v>210</v>
      </c>
      <c r="Y1" s="109" t="s">
        <v>211</v>
      </c>
      <c r="Z1" s="72" t="s">
        <v>212</v>
      </c>
      <c r="AA1" s="72" t="s">
        <v>213</v>
      </c>
      <c r="AB1" s="72" t="s">
        <v>214</v>
      </c>
      <c r="AC1" s="76" t="s">
        <v>185</v>
      </c>
      <c r="AD1" s="110" t="s">
        <v>57</v>
      </c>
      <c r="AE1" s="110" t="s">
        <v>191</v>
      </c>
      <c r="AF1" s="110" t="s">
        <v>192</v>
      </c>
      <c r="AG1" s="111" t="s">
        <v>193</v>
      </c>
      <c r="AH1" s="112" t="s">
        <v>279</v>
      </c>
    </row>
    <row r="2" spans="1:34" x14ac:dyDescent="0.25">
      <c r="A2" s="96"/>
      <c r="B2" s="96"/>
      <c r="C2" s="6" t="s">
        <v>197</v>
      </c>
      <c r="D2" s="1" t="s">
        <v>7</v>
      </c>
      <c r="E2" s="79">
        <v>9</v>
      </c>
      <c r="F2" s="1" t="s">
        <v>8</v>
      </c>
      <c r="G2" s="6" t="s">
        <v>6</v>
      </c>
      <c r="H2" s="98">
        <v>1</v>
      </c>
      <c r="I2" s="64">
        <v>6.94</v>
      </c>
      <c r="J2" s="64">
        <v>0</v>
      </c>
      <c r="K2" s="64">
        <v>0</v>
      </c>
      <c r="L2" s="64">
        <v>0</v>
      </c>
      <c r="M2" s="66">
        <v>43</v>
      </c>
      <c r="N2" s="94">
        <v>0</v>
      </c>
      <c r="O2" s="94">
        <v>0</v>
      </c>
      <c r="P2" s="94">
        <v>0</v>
      </c>
      <c r="Q2" s="95">
        <v>0</v>
      </c>
      <c r="R2" s="95">
        <v>0</v>
      </c>
      <c r="S2" s="102">
        <v>0</v>
      </c>
      <c r="T2" s="105">
        <v>0</v>
      </c>
      <c r="U2" s="105">
        <v>0</v>
      </c>
      <c r="V2" s="105">
        <v>0</v>
      </c>
      <c r="W2" s="106">
        <v>0</v>
      </c>
      <c r="X2" s="105">
        <v>0</v>
      </c>
      <c r="Y2" s="105">
        <v>0</v>
      </c>
      <c r="Z2" s="108">
        <v>0</v>
      </c>
      <c r="AA2" s="108">
        <v>0</v>
      </c>
      <c r="AB2" s="108">
        <v>0</v>
      </c>
      <c r="AC2" s="91">
        <v>14</v>
      </c>
      <c r="AD2" s="113">
        <f>I2+J2</f>
        <v>6.94</v>
      </c>
      <c r="AE2" s="113">
        <v>5</v>
      </c>
      <c r="AF2" s="113">
        <v>5.0164705882352942</v>
      </c>
      <c r="AG2" s="114">
        <v>0</v>
      </c>
      <c r="AH2" s="114">
        <v>0</v>
      </c>
    </row>
    <row r="3" spans="1:34" x14ac:dyDescent="0.25">
      <c r="A3" s="97"/>
      <c r="B3" s="97"/>
      <c r="C3" s="89" t="s">
        <v>197</v>
      </c>
      <c r="D3" s="1" t="s">
        <v>7</v>
      </c>
      <c r="E3" s="79">
        <v>9</v>
      </c>
      <c r="F3" s="1" t="s">
        <v>8</v>
      </c>
      <c r="G3" s="6" t="s">
        <v>6</v>
      </c>
      <c r="H3" s="98">
        <v>2</v>
      </c>
      <c r="I3" s="64">
        <v>6.92</v>
      </c>
      <c r="J3" s="64">
        <v>0</v>
      </c>
      <c r="K3" s="64">
        <v>0</v>
      </c>
      <c r="L3" s="64">
        <v>0</v>
      </c>
      <c r="M3" s="92">
        <v>43</v>
      </c>
      <c r="N3" s="94">
        <v>0</v>
      </c>
      <c r="O3" s="94">
        <v>0</v>
      </c>
      <c r="P3" s="94">
        <v>0</v>
      </c>
      <c r="Q3" s="95">
        <v>0</v>
      </c>
      <c r="R3" s="95">
        <v>0</v>
      </c>
      <c r="S3" s="102">
        <v>0</v>
      </c>
      <c r="T3" s="105">
        <v>0</v>
      </c>
      <c r="U3" s="105">
        <v>0</v>
      </c>
      <c r="V3" s="105">
        <v>0</v>
      </c>
      <c r="W3" s="106">
        <v>0</v>
      </c>
      <c r="X3" s="105">
        <v>0</v>
      </c>
      <c r="Y3" s="105">
        <v>0</v>
      </c>
      <c r="Z3" s="108">
        <v>0</v>
      </c>
      <c r="AA3" s="108">
        <v>0</v>
      </c>
      <c r="AB3" s="108">
        <v>0</v>
      </c>
      <c r="AC3" s="91">
        <f>AC2</f>
        <v>14</v>
      </c>
      <c r="AD3" s="113">
        <f t="shared" ref="AD3:AD66" si="0">I3+J3</f>
        <v>6.92</v>
      </c>
      <c r="AE3" s="115">
        <v>5</v>
      </c>
      <c r="AF3" s="115">
        <v>4.9278431372549019</v>
      </c>
      <c r="AG3" s="116">
        <v>0</v>
      </c>
      <c r="AH3" s="116">
        <v>0</v>
      </c>
    </row>
    <row r="4" spans="1:34" x14ac:dyDescent="0.25">
      <c r="A4" s="97"/>
      <c r="B4" s="97"/>
      <c r="C4" s="89" t="s">
        <v>197</v>
      </c>
      <c r="D4" s="1" t="s">
        <v>178</v>
      </c>
      <c r="E4" s="79">
        <v>9</v>
      </c>
      <c r="F4" s="1" t="s">
        <v>177</v>
      </c>
      <c r="G4" s="6" t="s">
        <v>6</v>
      </c>
      <c r="H4" s="98">
        <v>1</v>
      </c>
      <c r="I4" s="64">
        <v>3.2</v>
      </c>
      <c r="J4" s="64">
        <v>0</v>
      </c>
      <c r="K4" s="65">
        <v>0</v>
      </c>
      <c r="L4" s="65">
        <v>0</v>
      </c>
      <c r="M4" s="92">
        <v>37</v>
      </c>
      <c r="N4" s="94">
        <v>0</v>
      </c>
      <c r="O4" s="94">
        <v>0</v>
      </c>
      <c r="P4" s="94">
        <v>0</v>
      </c>
      <c r="Q4" s="95">
        <v>0</v>
      </c>
      <c r="R4" s="95">
        <v>0</v>
      </c>
      <c r="S4" s="102">
        <v>0</v>
      </c>
      <c r="T4" s="105">
        <v>0</v>
      </c>
      <c r="U4" s="105">
        <v>0</v>
      </c>
      <c r="V4" s="105">
        <v>0</v>
      </c>
      <c r="W4" s="106">
        <v>0</v>
      </c>
      <c r="X4" s="105">
        <v>0</v>
      </c>
      <c r="Y4" s="105">
        <v>0</v>
      </c>
      <c r="Z4" s="108">
        <v>0</v>
      </c>
      <c r="AA4" s="108">
        <v>0</v>
      </c>
      <c r="AB4" s="108">
        <v>0</v>
      </c>
      <c r="AC4" s="91">
        <f t="shared" ref="AC4:AC25" si="1">AC3</f>
        <v>14</v>
      </c>
      <c r="AD4" s="113">
        <f t="shared" si="0"/>
        <v>3.2</v>
      </c>
      <c r="AE4" s="115">
        <v>1</v>
      </c>
      <c r="AF4" s="115">
        <v>3.3</v>
      </c>
      <c r="AG4" s="116">
        <v>0</v>
      </c>
      <c r="AH4" s="116">
        <v>623</v>
      </c>
    </row>
    <row r="5" spans="1:34" x14ac:dyDescent="0.25">
      <c r="A5" s="97"/>
      <c r="B5" s="97"/>
      <c r="C5" s="89" t="s">
        <v>197</v>
      </c>
      <c r="D5" s="1" t="s">
        <v>178</v>
      </c>
      <c r="E5" s="79">
        <v>9</v>
      </c>
      <c r="F5" s="1" t="s">
        <v>177</v>
      </c>
      <c r="G5" s="6" t="s">
        <v>6</v>
      </c>
      <c r="H5" s="98">
        <v>2</v>
      </c>
      <c r="I5" s="64">
        <v>3</v>
      </c>
      <c r="J5" s="64">
        <v>0</v>
      </c>
      <c r="K5" s="65">
        <v>0</v>
      </c>
      <c r="L5" s="65">
        <v>0</v>
      </c>
      <c r="M5" s="92">
        <v>37</v>
      </c>
      <c r="N5" s="94">
        <v>0</v>
      </c>
      <c r="O5" s="94">
        <v>0</v>
      </c>
      <c r="P5" s="94">
        <v>0</v>
      </c>
      <c r="Q5" s="95">
        <v>0</v>
      </c>
      <c r="R5" s="95">
        <v>0</v>
      </c>
      <c r="S5" s="102">
        <v>0</v>
      </c>
      <c r="T5" s="105">
        <v>0</v>
      </c>
      <c r="U5" s="105">
        <v>0</v>
      </c>
      <c r="V5" s="105">
        <v>0</v>
      </c>
      <c r="W5" s="106">
        <v>0</v>
      </c>
      <c r="X5" s="105">
        <v>0</v>
      </c>
      <c r="Y5" s="105">
        <v>0</v>
      </c>
      <c r="Z5" s="108">
        <v>0</v>
      </c>
      <c r="AA5" s="108">
        <v>0</v>
      </c>
      <c r="AB5" s="108">
        <v>0</v>
      </c>
      <c r="AC5" s="91">
        <f t="shared" si="1"/>
        <v>14</v>
      </c>
      <c r="AD5" s="113">
        <f t="shared" si="0"/>
        <v>3</v>
      </c>
      <c r="AE5" s="115">
        <v>1</v>
      </c>
      <c r="AF5" s="115">
        <v>3.3</v>
      </c>
      <c r="AG5" s="116">
        <v>0</v>
      </c>
      <c r="AH5" s="116">
        <v>623</v>
      </c>
    </row>
    <row r="6" spans="1:34" x14ac:dyDescent="0.25">
      <c r="A6" s="97"/>
      <c r="B6" s="97"/>
      <c r="C6" s="89" t="s">
        <v>197</v>
      </c>
      <c r="D6" s="1" t="s">
        <v>9</v>
      </c>
      <c r="E6" s="79">
        <v>9</v>
      </c>
      <c r="F6" s="1" t="s">
        <v>10</v>
      </c>
      <c r="G6" s="6" t="s">
        <v>6</v>
      </c>
      <c r="H6" s="98">
        <v>1</v>
      </c>
      <c r="I6" s="64">
        <v>9.49</v>
      </c>
      <c r="J6" s="64">
        <v>0</v>
      </c>
      <c r="K6" s="64">
        <v>0</v>
      </c>
      <c r="L6" s="64">
        <v>0</v>
      </c>
      <c r="M6" s="92">
        <v>51</v>
      </c>
      <c r="N6" s="94">
        <v>0</v>
      </c>
      <c r="O6" s="94">
        <v>0</v>
      </c>
      <c r="P6" s="94">
        <v>0</v>
      </c>
      <c r="Q6" s="95">
        <v>0</v>
      </c>
      <c r="R6" s="95">
        <v>0</v>
      </c>
      <c r="S6" s="102">
        <v>0</v>
      </c>
      <c r="T6" s="105">
        <v>0</v>
      </c>
      <c r="U6" s="105">
        <v>0</v>
      </c>
      <c r="V6" s="105">
        <v>0</v>
      </c>
      <c r="W6" s="106">
        <v>0</v>
      </c>
      <c r="X6" s="105">
        <v>0</v>
      </c>
      <c r="Y6" s="105">
        <v>0</v>
      </c>
      <c r="Z6" s="108">
        <v>0</v>
      </c>
      <c r="AA6" s="108">
        <v>0</v>
      </c>
      <c r="AB6" s="108">
        <v>0</v>
      </c>
      <c r="AC6" s="91">
        <f t="shared" si="1"/>
        <v>14</v>
      </c>
      <c r="AD6" s="113">
        <f t="shared" si="0"/>
        <v>9.49</v>
      </c>
      <c r="AE6" s="115">
        <v>6</v>
      </c>
      <c r="AF6" s="115">
        <v>1.0022</v>
      </c>
      <c r="AG6" s="116">
        <v>0</v>
      </c>
      <c r="AH6" s="116">
        <v>0</v>
      </c>
    </row>
    <row r="7" spans="1:34" x14ac:dyDescent="0.25">
      <c r="A7" s="97"/>
      <c r="B7" s="97"/>
      <c r="C7" s="89" t="s">
        <v>197</v>
      </c>
      <c r="D7" s="1" t="s">
        <v>9</v>
      </c>
      <c r="E7" s="79">
        <v>9</v>
      </c>
      <c r="F7" s="1" t="s">
        <v>10</v>
      </c>
      <c r="G7" s="6" t="s">
        <v>6</v>
      </c>
      <c r="H7" s="98">
        <v>2</v>
      </c>
      <c r="I7" s="64">
        <v>9.73</v>
      </c>
      <c r="J7" s="64">
        <v>0</v>
      </c>
      <c r="K7" s="64">
        <v>0</v>
      </c>
      <c r="L7" s="64">
        <v>0</v>
      </c>
      <c r="M7" s="92">
        <v>51</v>
      </c>
      <c r="N7" s="94">
        <v>0</v>
      </c>
      <c r="O7" s="94">
        <v>0</v>
      </c>
      <c r="P7" s="94">
        <v>0</v>
      </c>
      <c r="Q7" s="95">
        <v>0</v>
      </c>
      <c r="R7" s="95">
        <v>0</v>
      </c>
      <c r="S7" s="102">
        <v>0</v>
      </c>
      <c r="T7" s="105">
        <v>0</v>
      </c>
      <c r="U7" s="105">
        <v>0</v>
      </c>
      <c r="V7" s="105">
        <v>0</v>
      </c>
      <c r="W7" s="106">
        <v>0</v>
      </c>
      <c r="X7" s="105">
        <v>0</v>
      </c>
      <c r="Y7" s="105">
        <v>0</v>
      </c>
      <c r="Z7" s="108">
        <v>0</v>
      </c>
      <c r="AA7" s="108">
        <v>0</v>
      </c>
      <c r="AB7" s="108">
        <v>0</v>
      </c>
      <c r="AC7" s="91">
        <f t="shared" si="1"/>
        <v>14</v>
      </c>
      <c r="AD7" s="113">
        <f t="shared" si="0"/>
        <v>9.73</v>
      </c>
      <c r="AE7" s="115">
        <v>6</v>
      </c>
      <c r="AF7" s="115">
        <v>4.9352112676056334</v>
      </c>
      <c r="AG7" s="116">
        <v>0</v>
      </c>
      <c r="AH7" s="116">
        <v>0</v>
      </c>
    </row>
    <row r="8" spans="1:34" x14ac:dyDescent="0.25">
      <c r="A8" s="97"/>
      <c r="B8" s="97"/>
      <c r="C8" s="89" t="s">
        <v>197</v>
      </c>
      <c r="D8" s="1" t="s">
        <v>11</v>
      </c>
      <c r="E8" s="79">
        <v>9</v>
      </c>
      <c r="F8" s="1" t="s">
        <v>12</v>
      </c>
      <c r="G8" s="6" t="s">
        <v>6</v>
      </c>
      <c r="H8" s="98">
        <v>1</v>
      </c>
      <c r="I8" s="64">
        <v>4.1500000000000004</v>
      </c>
      <c r="J8" s="64">
        <v>0</v>
      </c>
      <c r="K8" s="65">
        <v>0</v>
      </c>
      <c r="L8" s="65">
        <v>0</v>
      </c>
      <c r="M8" s="92">
        <v>39</v>
      </c>
      <c r="N8" s="94">
        <v>0</v>
      </c>
      <c r="O8" s="94">
        <v>0</v>
      </c>
      <c r="P8" s="94">
        <v>0</v>
      </c>
      <c r="Q8" s="95">
        <v>0</v>
      </c>
      <c r="R8" s="95">
        <v>0</v>
      </c>
      <c r="S8" s="102">
        <v>0</v>
      </c>
      <c r="T8" s="105">
        <v>0</v>
      </c>
      <c r="U8" s="105">
        <v>0</v>
      </c>
      <c r="V8" s="105">
        <v>0</v>
      </c>
      <c r="W8" s="106">
        <v>0</v>
      </c>
      <c r="X8" s="105">
        <v>0</v>
      </c>
      <c r="Y8" s="105">
        <v>0</v>
      </c>
      <c r="Z8" s="108">
        <v>0</v>
      </c>
      <c r="AA8" s="108">
        <v>0</v>
      </c>
      <c r="AB8" s="108">
        <v>0</v>
      </c>
      <c r="AC8" s="91">
        <f t="shared" si="1"/>
        <v>14</v>
      </c>
      <c r="AD8" s="113">
        <f t="shared" si="0"/>
        <v>4.1500000000000004</v>
      </c>
      <c r="AE8" s="115">
        <v>2.5</v>
      </c>
      <c r="AF8" s="115">
        <v>1.9491304347826088</v>
      </c>
      <c r="AG8" s="116">
        <v>0</v>
      </c>
      <c r="AH8" s="116">
        <v>623</v>
      </c>
    </row>
    <row r="9" spans="1:34" x14ac:dyDescent="0.25">
      <c r="A9" s="97"/>
      <c r="B9" s="97"/>
      <c r="C9" s="89" t="s">
        <v>197</v>
      </c>
      <c r="D9" s="1" t="s">
        <v>11</v>
      </c>
      <c r="E9" s="79">
        <v>9</v>
      </c>
      <c r="F9" s="1" t="s">
        <v>12</v>
      </c>
      <c r="G9" s="6" t="s">
        <v>6</v>
      </c>
      <c r="H9" s="98">
        <v>2</v>
      </c>
      <c r="I9" s="64">
        <v>4.09</v>
      </c>
      <c r="J9" s="64">
        <v>0</v>
      </c>
      <c r="K9" s="65">
        <v>0</v>
      </c>
      <c r="L9" s="65">
        <v>0</v>
      </c>
      <c r="M9" s="92">
        <v>39</v>
      </c>
      <c r="N9" s="94">
        <v>0</v>
      </c>
      <c r="O9" s="94">
        <v>0</v>
      </c>
      <c r="P9" s="94">
        <v>0</v>
      </c>
      <c r="Q9" s="95">
        <v>0</v>
      </c>
      <c r="R9" s="95">
        <v>0</v>
      </c>
      <c r="S9" s="102">
        <v>0</v>
      </c>
      <c r="T9" s="105">
        <v>0</v>
      </c>
      <c r="U9" s="105">
        <v>0</v>
      </c>
      <c r="V9" s="105">
        <v>0</v>
      </c>
      <c r="W9" s="106">
        <v>0</v>
      </c>
      <c r="X9" s="105">
        <v>0</v>
      </c>
      <c r="Y9" s="105">
        <v>0</v>
      </c>
      <c r="Z9" s="108">
        <v>0</v>
      </c>
      <c r="AA9" s="108">
        <v>0</v>
      </c>
      <c r="AB9" s="108">
        <v>0</v>
      </c>
      <c r="AC9" s="91">
        <f t="shared" si="1"/>
        <v>14</v>
      </c>
      <c r="AD9" s="113">
        <f t="shared" si="0"/>
        <v>4.09</v>
      </c>
      <c r="AE9" s="115">
        <v>2.5</v>
      </c>
      <c r="AF9" s="115">
        <v>1.9459200000000001</v>
      </c>
      <c r="AG9" s="116">
        <v>0</v>
      </c>
      <c r="AH9" s="116">
        <v>623</v>
      </c>
    </row>
    <row r="10" spans="1:34" x14ac:dyDescent="0.25">
      <c r="A10" s="97"/>
      <c r="B10" s="97"/>
      <c r="C10" s="89" t="s">
        <v>197</v>
      </c>
      <c r="D10" s="1" t="s">
        <v>13</v>
      </c>
      <c r="E10" s="79">
        <v>9</v>
      </c>
      <c r="F10" s="1" t="s">
        <v>14</v>
      </c>
      <c r="G10" s="6" t="s">
        <v>6</v>
      </c>
      <c r="H10" s="98">
        <v>1</v>
      </c>
      <c r="I10" s="64">
        <v>4.6399999999999997</v>
      </c>
      <c r="J10" s="64">
        <v>0</v>
      </c>
      <c r="K10" s="65">
        <v>0</v>
      </c>
      <c r="L10" s="65">
        <v>0</v>
      </c>
      <c r="M10" s="92">
        <v>30</v>
      </c>
      <c r="N10" s="94">
        <v>0</v>
      </c>
      <c r="O10" s="94">
        <v>0</v>
      </c>
      <c r="P10" s="94">
        <v>0</v>
      </c>
      <c r="Q10" s="95">
        <v>0</v>
      </c>
      <c r="R10" s="95">
        <v>0</v>
      </c>
      <c r="S10" s="102">
        <v>0</v>
      </c>
      <c r="T10" s="105">
        <v>0</v>
      </c>
      <c r="U10" s="105">
        <v>0</v>
      </c>
      <c r="V10" s="105">
        <v>0</v>
      </c>
      <c r="W10" s="106">
        <v>0</v>
      </c>
      <c r="X10" s="105">
        <v>0</v>
      </c>
      <c r="Y10" s="105">
        <v>0</v>
      </c>
      <c r="Z10" s="108">
        <v>0</v>
      </c>
      <c r="AA10" s="108">
        <v>0</v>
      </c>
      <c r="AB10" s="108">
        <v>0</v>
      </c>
      <c r="AC10" s="91">
        <f t="shared" si="1"/>
        <v>14</v>
      </c>
      <c r="AD10" s="113">
        <f t="shared" si="0"/>
        <v>4.6399999999999997</v>
      </c>
      <c r="AE10" s="115">
        <v>1.5</v>
      </c>
      <c r="AF10" s="115">
        <v>3.9006896551724139</v>
      </c>
      <c r="AG10" s="116">
        <v>0</v>
      </c>
      <c r="AH10" s="116">
        <v>623</v>
      </c>
    </row>
    <row r="11" spans="1:34" x14ac:dyDescent="0.25">
      <c r="A11" s="97"/>
      <c r="B11" s="97"/>
      <c r="C11" s="89" t="s">
        <v>197</v>
      </c>
      <c r="D11" s="1" t="s">
        <v>13</v>
      </c>
      <c r="E11" s="79">
        <v>9</v>
      </c>
      <c r="F11" s="1" t="s">
        <v>14</v>
      </c>
      <c r="G11" s="6" t="s">
        <v>6</v>
      </c>
      <c r="H11" s="98">
        <v>2</v>
      </c>
      <c r="I11" s="64">
        <v>4.53</v>
      </c>
      <c r="J11" s="64">
        <v>0</v>
      </c>
      <c r="K11" s="65">
        <v>0</v>
      </c>
      <c r="L11" s="65">
        <v>0</v>
      </c>
      <c r="M11" s="92">
        <v>30</v>
      </c>
      <c r="N11" s="94">
        <v>0</v>
      </c>
      <c r="O11" s="94">
        <v>0</v>
      </c>
      <c r="P11" s="94">
        <v>0</v>
      </c>
      <c r="Q11" s="95">
        <v>0</v>
      </c>
      <c r="R11" s="95">
        <v>0</v>
      </c>
      <c r="S11" s="102">
        <v>0</v>
      </c>
      <c r="T11" s="105">
        <v>0</v>
      </c>
      <c r="U11" s="105">
        <v>0</v>
      </c>
      <c r="V11" s="105">
        <v>0</v>
      </c>
      <c r="W11" s="106">
        <v>0</v>
      </c>
      <c r="X11" s="105">
        <v>0</v>
      </c>
      <c r="Y11" s="105">
        <v>0</v>
      </c>
      <c r="Z11" s="108">
        <v>0</v>
      </c>
      <c r="AA11" s="108">
        <v>0</v>
      </c>
      <c r="AB11" s="108">
        <v>0</v>
      </c>
      <c r="AC11" s="91">
        <f t="shared" si="1"/>
        <v>14</v>
      </c>
      <c r="AD11" s="113">
        <f t="shared" si="0"/>
        <v>4.53</v>
      </c>
      <c r="AE11" s="115">
        <v>1.5</v>
      </c>
      <c r="AF11" s="115">
        <v>3.9267088607594935</v>
      </c>
      <c r="AG11" s="116">
        <v>0</v>
      </c>
      <c r="AH11" s="116">
        <v>623</v>
      </c>
    </row>
    <row r="12" spans="1:34" x14ac:dyDescent="0.25">
      <c r="A12" s="97"/>
      <c r="B12" s="97"/>
      <c r="C12" s="89" t="s">
        <v>197</v>
      </c>
      <c r="D12" s="1" t="s">
        <v>15</v>
      </c>
      <c r="E12" s="79">
        <v>9</v>
      </c>
      <c r="F12" s="1" t="s">
        <v>16</v>
      </c>
      <c r="G12" s="6" t="s">
        <v>6</v>
      </c>
      <c r="H12" s="98">
        <v>1</v>
      </c>
      <c r="I12" s="64">
        <v>4.66</v>
      </c>
      <c r="J12" s="64">
        <v>0</v>
      </c>
      <c r="K12" s="65">
        <v>0</v>
      </c>
      <c r="L12" s="65">
        <v>0</v>
      </c>
      <c r="M12" s="92">
        <v>33</v>
      </c>
      <c r="N12" s="94">
        <v>0</v>
      </c>
      <c r="O12" s="94">
        <v>0</v>
      </c>
      <c r="P12" s="94">
        <v>0</v>
      </c>
      <c r="Q12" s="95">
        <v>0</v>
      </c>
      <c r="R12" s="95">
        <v>0</v>
      </c>
      <c r="S12" s="102">
        <v>0</v>
      </c>
      <c r="T12" s="105">
        <v>0</v>
      </c>
      <c r="U12" s="105">
        <v>0</v>
      </c>
      <c r="V12" s="105">
        <v>0</v>
      </c>
      <c r="W12" s="106">
        <v>0</v>
      </c>
      <c r="X12" s="105">
        <v>0</v>
      </c>
      <c r="Y12" s="105">
        <v>0</v>
      </c>
      <c r="Z12" s="108">
        <v>0</v>
      </c>
      <c r="AA12" s="108">
        <v>0</v>
      </c>
      <c r="AB12" s="108">
        <v>0</v>
      </c>
      <c r="AC12" s="91">
        <f t="shared" si="1"/>
        <v>14</v>
      </c>
      <c r="AD12" s="113">
        <f t="shared" si="0"/>
        <v>4.66</v>
      </c>
      <c r="AE12" s="115">
        <v>4.5</v>
      </c>
      <c r="AF12" s="115">
        <v>1.9235087719298245</v>
      </c>
      <c r="AG12" s="116">
        <v>0</v>
      </c>
      <c r="AH12" s="116">
        <v>623</v>
      </c>
    </row>
    <row r="13" spans="1:34" x14ac:dyDescent="0.25">
      <c r="A13" s="97"/>
      <c r="B13" s="97"/>
      <c r="C13" s="89" t="s">
        <v>197</v>
      </c>
      <c r="D13" s="1" t="s">
        <v>15</v>
      </c>
      <c r="E13" s="79">
        <v>9</v>
      </c>
      <c r="F13" s="1" t="s">
        <v>16</v>
      </c>
      <c r="G13" s="6" t="s">
        <v>6</v>
      </c>
      <c r="H13" s="98">
        <v>2</v>
      </c>
      <c r="I13" s="64">
        <v>4.58</v>
      </c>
      <c r="J13" s="64">
        <v>0</v>
      </c>
      <c r="K13" s="65">
        <v>0</v>
      </c>
      <c r="L13" s="65">
        <v>0</v>
      </c>
      <c r="M13" s="92">
        <v>33</v>
      </c>
      <c r="N13" s="94">
        <v>0</v>
      </c>
      <c r="O13" s="94">
        <v>0</v>
      </c>
      <c r="P13" s="94">
        <v>0</v>
      </c>
      <c r="Q13" s="95">
        <v>0</v>
      </c>
      <c r="R13" s="95">
        <v>0</v>
      </c>
      <c r="S13" s="102">
        <v>0</v>
      </c>
      <c r="T13" s="105">
        <v>0</v>
      </c>
      <c r="U13" s="105">
        <v>0</v>
      </c>
      <c r="V13" s="105">
        <v>0</v>
      </c>
      <c r="W13" s="106">
        <v>0</v>
      </c>
      <c r="X13" s="105">
        <v>0</v>
      </c>
      <c r="Y13" s="105">
        <v>0</v>
      </c>
      <c r="Z13" s="108">
        <v>0</v>
      </c>
      <c r="AA13" s="108">
        <v>0</v>
      </c>
      <c r="AB13" s="108">
        <v>0</v>
      </c>
      <c r="AC13" s="91">
        <f t="shared" si="1"/>
        <v>14</v>
      </c>
      <c r="AD13" s="113">
        <f t="shared" si="0"/>
        <v>4.58</v>
      </c>
      <c r="AE13" s="115">
        <v>4.5</v>
      </c>
      <c r="AF13" s="115">
        <v>1.9363392857142858</v>
      </c>
      <c r="AG13" s="116">
        <v>0</v>
      </c>
      <c r="AH13" s="116">
        <v>623</v>
      </c>
    </row>
    <row r="14" spans="1:34" x14ac:dyDescent="0.25">
      <c r="A14" s="97"/>
      <c r="B14" s="97"/>
      <c r="C14" s="89" t="s">
        <v>197</v>
      </c>
      <c r="D14" s="1" t="s">
        <v>17</v>
      </c>
      <c r="E14" s="79">
        <v>9</v>
      </c>
      <c r="F14" s="1" t="s">
        <v>18</v>
      </c>
      <c r="G14" s="6" t="s">
        <v>6</v>
      </c>
      <c r="H14" s="98">
        <v>1</v>
      </c>
      <c r="I14" s="64">
        <v>2.67</v>
      </c>
      <c r="J14" s="64">
        <v>0</v>
      </c>
      <c r="K14" s="65">
        <v>0</v>
      </c>
      <c r="L14" s="65">
        <v>0</v>
      </c>
      <c r="M14" s="92">
        <v>27</v>
      </c>
      <c r="N14" s="94">
        <v>0</v>
      </c>
      <c r="O14" s="94">
        <v>0</v>
      </c>
      <c r="P14" s="94">
        <v>0</v>
      </c>
      <c r="Q14" s="95">
        <v>0</v>
      </c>
      <c r="R14" s="95">
        <v>0</v>
      </c>
      <c r="S14" s="102">
        <v>0</v>
      </c>
      <c r="T14" s="105">
        <v>0</v>
      </c>
      <c r="U14" s="105">
        <v>0</v>
      </c>
      <c r="V14" s="105">
        <v>0</v>
      </c>
      <c r="W14" s="106">
        <v>0</v>
      </c>
      <c r="X14" s="105">
        <v>0</v>
      </c>
      <c r="Y14" s="105">
        <v>0</v>
      </c>
      <c r="Z14" s="108">
        <v>0</v>
      </c>
      <c r="AA14" s="108">
        <v>0</v>
      </c>
      <c r="AB14" s="108">
        <v>0</v>
      </c>
      <c r="AC14" s="91">
        <f t="shared" si="1"/>
        <v>14</v>
      </c>
      <c r="AD14" s="113">
        <f t="shared" si="0"/>
        <v>2.67</v>
      </c>
      <c r="AE14" s="115">
        <v>1</v>
      </c>
      <c r="AF14" s="115">
        <v>6.3508695652173914</v>
      </c>
      <c r="AG14" s="116">
        <v>0</v>
      </c>
      <c r="AH14" s="116">
        <v>618</v>
      </c>
    </row>
    <row r="15" spans="1:34" x14ac:dyDescent="0.25">
      <c r="A15" s="97"/>
      <c r="B15" s="97"/>
      <c r="C15" s="89" t="s">
        <v>197</v>
      </c>
      <c r="D15" s="1" t="s">
        <v>17</v>
      </c>
      <c r="E15" s="79">
        <v>9</v>
      </c>
      <c r="F15" s="1" t="s">
        <v>18</v>
      </c>
      <c r="G15" s="6" t="s">
        <v>6</v>
      </c>
      <c r="H15" s="98">
        <v>2</v>
      </c>
      <c r="I15" s="64">
        <v>2.35</v>
      </c>
      <c r="J15" s="64">
        <v>0</v>
      </c>
      <c r="K15" s="65">
        <v>0</v>
      </c>
      <c r="L15" s="65">
        <v>0</v>
      </c>
      <c r="M15" s="92">
        <v>27</v>
      </c>
      <c r="N15" s="94">
        <v>0</v>
      </c>
      <c r="O15" s="94">
        <v>0</v>
      </c>
      <c r="P15" s="94">
        <v>0</v>
      </c>
      <c r="Q15" s="95">
        <v>0</v>
      </c>
      <c r="R15" s="95">
        <v>0</v>
      </c>
      <c r="S15" s="102">
        <v>0</v>
      </c>
      <c r="T15" s="105">
        <v>0</v>
      </c>
      <c r="U15" s="105">
        <v>0</v>
      </c>
      <c r="V15" s="105">
        <v>0</v>
      </c>
      <c r="W15" s="106">
        <v>0</v>
      </c>
      <c r="X15" s="105">
        <v>0</v>
      </c>
      <c r="Y15" s="105">
        <v>0</v>
      </c>
      <c r="Z15" s="108">
        <v>0</v>
      </c>
      <c r="AA15" s="108">
        <v>0</v>
      </c>
      <c r="AB15" s="108">
        <v>0</v>
      </c>
      <c r="AC15" s="91">
        <f t="shared" si="1"/>
        <v>14</v>
      </c>
      <c r="AD15" s="113">
        <f t="shared" si="0"/>
        <v>2.35</v>
      </c>
      <c r="AE15" s="115">
        <v>1</v>
      </c>
      <c r="AF15" s="115">
        <v>5.8820833333333331</v>
      </c>
      <c r="AG15" s="116">
        <v>0</v>
      </c>
      <c r="AH15" s="116">
        <v>618</v>
      </c>
    </row>
    <row r="16" spans="1:34" x14ac:dyDescent="0.25">
      <c r="A16" s="97"/>
      <c r="B16" s="97"/>
      <c r="C16" s="89" t="s">
        <v>197</v>
      </c>
      <c r="D16" s="1" t="s">
        <v>19</v>
      </c>
      <c r="E16" s="79">
        <v>9</v>
      </c>
      <c r="F16" s="1" t="s">
        <v>20</v>
      </c>
      <c r="G16" s="6" t="s">
        <v>6</v>
      </c>
      <c r="H16" s="98">
        <v>1</v>
      </c>
      <c r="I16" s="64">
        <v>2.66</v>
      </c>
      <c r="J16" s="64">
        <v>2.88</v>
      </c>
      <c r="K16" s="65">
        <v>0</v>
      </c>
      <c r="L16" s="65">
        <v>0</v>
      </c>
      <c r="M16" s="92">
        <v>27</v>
      </c>
      <c r="N16" s="94">
        <v>0</v>
      </c>
      <c r="O16" s="94">
        <v>0</v>
      </c>
      <c r="P16" s="94">
        <v>0</v>
      </c>
      <c r="Q16" s="95">
        <v>0</v>
      </c>
      <c r="R16" s="95">
        <v>0</v>
      </c>
      <c r="S16" s="102">
        <v>0</v>
      </c>
      <c r="T16" s="105">
        <v>0</v>
      </c>
      <c r="U16" s="105">
        <v>0</v>
      </c>
      <c r="V16" s="105">
        <v>0</v>
      </c>
      <c r="W16" s="106">
        <v>0</v>
      </c>
      <c r="X16" s="105">
        <v>0</v>
      </c>
      <c r="Y16" s="105">
        <v>0</v>
      </c>
      <c r="Z16" s="108">
        <v>0</v>
      </c>
      <c r="AA16" s="108">
        <v>0</v>
      </c>
      <c r="AB16" s="108">
        <v>0</v>
      </c>
      <c r="AC16" s="91">
        <f t="shared" si="1"/>
        <v>14</v>
      </c>
      <c r="AD16" s="113">
        <f t="shared" si="0"/>
        <v>5.54</v>
      </c>
      <c r="AE16" s="115">
        <v>2.5</v>
      </c>
      <c r="AF16" s="115">
        <v>1.342857142857143</v>
      </c>
      <c r="AG16" s="116">
        <v>0</v>
      </c>
      <c r="AH16" s="116">
        <v>618</v>
      </c>
    </row>
    <row r="17" spans="1:34" x14ac:dyDescent="0.25">
      <c r="A17" s="97"/>
      <c r="B17" s="97"/>
      <c r="C17" s="89" t="s">
        <v>197</v>
      </c>
      <c r="D17" s="1" t="s">
        <v>19</v>
      </c>
      <c r="E17" s="79">
        <v>9</v>
      </c>
      <c r="F17" s="1" t="s">
        <v>20</v>
      </c>
      <c r="G17" s="6" t="s">
        <v>6</v>
      </c>
      <c r="H17" s="98">
        <v>2</v>
      </c>
      <c r="I17" s="64">
        <v>2.3450000000000002</v>
      </c>
      <c r="J17" s="64">
        <v>2.88</v>
      </c>
      <c r="K17" s="65">
        <v>0</v>
      </c>
      <c r="L17" s="65">
        <v>0</v>
      </c>
      <c r="M17" s="92">
        <v>27</v>
      </c>
      <c r="N17" s="94">
        <v>0</v>
      </c>
      <c r="O17" s="94">
        <v>0</v>
      </c>
      <c r="P17" s="94">
        <v>0</v>
      </c>
      <c r="Q17" s="95">
        <v>0</v>
      </c>
      <c r="R17" s="95">
        <v>0</v>
      </c>
      <c r="S17" s="102">
        <v>0</v>
      </c>
      <c r="T17" s="105">
        <v>0</v>
      </c>
      <c r="U17" s="105">
        <v>0</v>
      </c>
      <c r="V17" s="105">
        <v>0</v>
      </c>
      <c r="W17" s="106">
        <v>0</v>
      </c>
      <c r="X17" s="105">
        <v>0</v>
      </c>
      <c r="Y17" s="105">
        <v>0</v>
      </c>
      <c r="Z17" s="108">
        <v>0</v>
      </c>
      <c r="AA17" s="108">
        <v>0</v>
      </c>
      <c r="AB17" s="108">
        <v>0</v>
      </c>
      <c r="AC17" s="91">
        <f t="shared" si="1"/>
        <v>14</v>
      </c>
      <c r="AD17" s="113">
        <f t="shared" si="0"/>
        <v>5.2249999999999996</v>
      </c>
      <c r="AE17" s="115">
        <v>2.5</v>
      </c>
      <c r="AF17" s="115">
        <v>1.2757142857142856</v>
      </c>
      <c r="AG17" s="116">
        <v>0</v>
      </c>
      <c r="AH17" s="116">
        <v>618</v>
      </c>
    </row>
    <row r="18" spans="1:34" x14ac:dyDescent="0.25">
      <c r="A18" s="97"/>
      <c r="B18" s="97"/>
      <c r="C18" s="89" t="s">
        <v>197</v>
      </c>
      <c r="D18" s="1" t="s">
        <v>181</v>
      </c>
      <c r="E18" s="79">
        <v>9</v>
      </c>
      <c r="F18" s="1" t="s">
        <v>21</v>
      </c>
      <c r="G18" s="6" t="s">
        <v>6</v>
      </c>
      <c r="H18" s="98">
        <v>1</v>
      </c>
      <c r="I18" s="64">
        <v>10.035</v>
      </c>
      <c r="J18" s="64">
        <v>2.58</v>
      </c>
      <c r="K18" s="65">
        <v>0</v>
      </c>
      <c r="L18" s="65">
        <v>0</v>
      </c>
      <c r="M18" s="92">
        <v>35</v>
      </c>
      <c r="N18" s="94">
        <v>0</v>
      </c>
      <c r="O18" s="94">
        <v>0</v>
      </c>
      <c r="P18" s="94">
        <v>0</v>
      </c>
      <c r="Q18" s="95">
        <v>0</v>
      </c>
      <c r="R18" s="95">
        <v>0</v>
      </c>
      <c r="S18" s="102">
        <v>0</v>
      </c>
      <c r="T18" s="105">
        <v>0</v>
      </c>
      <c r="U18" s="105">
        <v>0</v>
      </c>
      <c r="V18" s="105">
        <v>0</v>
      </c>
      <c r="W18" s="106">
        <v>0</v>
      </c>
      <c r="X18" s="105">
        <v>0</v>
      </c>
      <c r="Y18" s="105">
        <v>0</v>
      </c>
      <c r="Z18" s="108">
        <v>0</v>
      </c>
      <c r="AA18" s="108">
        <v>0</v>
      </c>
      <c r="AB18" s="108">
        <v>0</v>
      </c>
      <c r="AC18" s="91">
        <f t="shared" si="1"/>
        <v>14</v>
      </c>
      <c r="AD18" s="113">
        <f t="shared" si="0"/>
        <v>12.615</v>
      </c>
      <c r="AE18" s="115">
        <v>9</v>
      </c>
      <c r="AF18" s="115">
        <v>14.234390243902439</v>
      </c>
      <c r="AG18" s="116">
        <v>0</v>
      </c>
      <c r="AH18" s="116">
        <v>623</v>
      </c>
    </row>
    <row r="19" spans="1:34" x14ac:dyDescent="0.25">
      <c r="A19" s="97"/>
      <c r="B19" s="97"/>
      <c r="C19" s="89" t="s">
        <v>197</v>
      </c>
      <c r="D19" s="1" t="s">
        <v>181</v>
      </c>
      <c r="E19" s="79">
        <v>9</v>
      </c>
      <c r="F19" s="1" t="s">
        <v>21</v>
      </c>
      <c r="G19" s="6" t="s">
        <v>6</v>
      </c>
      <c r="H19" s="98">
        <v>2</v>
      </c>
      <c r="I19" s="64">
        <v>9.9550000000000001</v>
      </c>
      <c r="J19" s="64">
        <v>2.58</v>
      </c>
      <c r="K19" s="65">
        <v>0</v>
      </c>
      <c r="L19" s="65">
        <v>0</v>
      </c>
      <c r="M19" s="92">
        <v>35</v>
      </c>
      <c r="N19" s="94">
        <v>0</v>
      </c>
      <c r="O19" s="94">
        <v>0</v>
      </c>
      <c r="P19" s="94">
        <v>0</v>
      </c>
      <c r="Q19" s="95">
        <v>0</v>
      </c>
      <c r="R19" s="95">
        <v>0</v>
      </c>
      <c r="S19" s="102">
        <v>0</v>
      </c>
      <c r="T19" s="105">
        <v>0</v>
      </c>
      <c r="U19" s="105">
        <v>0</v>
      </c>
      <c r="V19" s="105">
        <v>0</v>
      </c>
      <c r="W19" s="106">
        <v>0</v>
      </c>
      <c r="X19" s="105">
        <v>0</v>
      </c>
      <c r="Y19" s="105">
        <v>0</v>
      </c>
      <c r="Z19" s="108">
        <v>0</v>
      </c>
      <c r="AA19" s="108">
        <v>0</v>
      </c>
      <c r="AB19" s="108">
        <v>0</v>
      </c>
      <c r="AC19" s="91">
        <f t="shared" si="1"/>
        <v>14</v>
      </c>
      <c r="AD19" s="113">
        <f t="shared" si="0"/>
        <v>12.535</v>
      </c>
      <c r="AE19" s="115">
        <v>9</v>
      </c>
      <c r="AF19" s="115">
        <v>15.219249999999999</v>
      </c>
      <c r="AG19" s="116">
        <v>0</v>
      </c>
      <c r="AH19" s="116">
        <v>623</v>
      </c>
    </row>
    <row r="20" spans="1:34" x14ac:dyDescent="0.25">
      <c r="A20" s="97"/>
      <c r="B20" s="97"/>
      <c r="C20" s="89" t="s">
        <v>197</v>
      </c>
      <c r="D20" s="1" t="s">
        <v>179</v>
      </c>
      <c r="E20" s="79">
        <v>9</v>
      </c>
      <c r="F20" s="1" t="s">
        <v>180</v>
      </c>
      <c r="G20" s="6" t="s">
        <v>6</v>
      </c>
      <c r="H20" s="98">
        <v>1</v>
      </c>
      <c r="I20" s="64">
        <v>5.69</v>
      </c>
      <c r="J20" s="64">
        <v>0</v>
      </c>
      <c r="K20" s="65">
        <v>0</v>
      </c>
      <c r="L20" s="65">
        <v>0</v>
      </c>
      <c r="M20" s="92">
        <v>40</v>
      </c>
      <c r="N20" s="94">
        <v>0</v>
      </c>
      <c r="O20" s="94">
        <v>0</v>
      </c>
      <c r="P20" s="94">
        <v>0</v>
      </c>
      <c r="Q20" s="95">
        <v>0</v>
      </c>
      <c r="R20" s="95">
        <v>0</v>
      </c>
      <c r="S20" s="102">
        <v>0</v>
      </c>
      <c r="T20" s="105">
        <v>0</v>
      </c>
      <c r="U20" s="105">
        <v>0</v>
      </c>
      <c r="V20" s="105">
        <v>0</v>
      </c>
      <c r="W20" s="106">
        <v>0</v>
      </c>
      <c r="X20" s="105">
        <v>0</v>
      </c>
      <c r="Y20" s="105">
        <v>0</v>
      </c>
      <c r="Z20" s="108">
        <v>0</v>
      </c>
      <c r="AA20" s="108">
        <v>0</v>
      </c>
      <c r="AB20" s="108">
        <v>0</v>
      </c>
      <c r="AC20" s="91">
        <f t="shared" si="1"/>
        <v>14</v>
      </c>
      <c r="AD20" s="113">
        <f t="shared" si="0"/>
        <v>5.69</v>
      </c>
      <c r="AE20" s="115">
        <v>0</v>
      </c>
      <c r="AF20" s="115">
        <v>4.5</v>
      </c>
      <c r="AG20" s="116">
        <v>0</v>
      </c>
      <c r="AH20" s="116">
        <v>623</v>
      </c>
    </row>
    <row r="21" spans="1:34" x14ac:dyDescent="0.25">
      <c r="A21" s="97"/>
      <c r="B21" s="97"/>
      <c r="C21" s="89" t="s">
        <v>197</v>
      </c>
      <c r="D21" s="1" t="s">
        <v>179</v>
      </c>
      <c r="E21" s="79">
        <v>9</v>
      </c>
      <c r="F21" s="1" t="s">
        <v>180</v>
      </c>
      <c r="G21" s="6" t="s">
        <v>6</v>
      </c>
      <c r="H21" s="98">
        <v>2</v>
      </c>
      <c r="I21" s="64">
        <v>0</v>
      </c>
      <c r="J21" s="64">
        <v>0</v>
      </c>
      <c r="K21" s="65">
        <v>0</v>
      </c>
      <c r="L21" s="65">
        <v>0</v>
      </c>
      <c r="M21" s="92">
        <v>40</v>
      </c>
      <c r="N21" s="94">
        <v>0</v>
      </c>
      <c r="O21" s="94">
        <v>0</v>
      </c>
      <c r="P21" s="94">
        <v>0</v>
      </c>
      <c r="Q21" s="95">
        <v>0</v>
      </c>
      <c r="R21" s="95">
        <v>0</v>
      </c>
      <c r="S21" s="102">
        <v>0</v>
      </c>
      <c r="T21" s="105">
        <v>0</v>
      </c>
      <c r="U21" s="105">
        <v>0</v>
      </c>
      <c r="V21" s="105">
        <v>0</v>
      </c>
      <c r="W21" s="106">
        <v>0</v>
      </c>
      <c r="X21" s="105">
        <v>0</v>
      </c>
      <c r="Y21" s="105">
        <v>0</v>
      </c>
      <c r="Z21" s="108">
        <v>0</v>
      </c>
      <c r="AA21" s="108">
        <v>0</v>
      </c>
      <c r="AB21" s="108">
        <v>0</v>
      </c>
      <c r="AC21" s="91">
        <f t="shared" si="1"/>
        <v>14</v>
      </c>
      <c r="AD21" s="113">
        <f t="shared" si="0"/>
        <v>0</v>
      </c>
      <c r="AE21" s="115">
        <v>0</v>
      </c>
      <c r="AF21" s="115">
        <v>4.5</v>
      </c>
      <c r="AG21" s="116">
        <v>0</v>
      </c>
      <c r="AH21" s="116">
        <v>623</v>
      </c>
    </row>
    <row r="22" spans="1:34" x14ac:dyDescent="0.25">
      <c r="A22" s="97"/>
      <c r="B22" s="97"/>
      <c r="C22" s="89" t="s">
        <v>197</v>
      </c>
      <c r="D22" s="1" t="s">
        <v>195</v>
      </c>
      <c r="E22" s="79">
        <v>9</v>
      </c>
      <c r="F22" s="1" t="s">
        <v>196</v>
      </c>
      <c r="G22" s="6" t="s">
        <v>6</v>
      </c>
      <c r="H22" s="98">
        <v>1</v>
      </c>
      <c r="I22" s="64">
        <v>8.3000000000000007</v>
      </c>
      <c r="J22" s="64">
        <v>0</v>
      </c>
      <c r="K22" s="65">
        <v>0</v>
      </c>
      <c r="L22" s="65">
        <v>0</v>
      </c>
      <c r="M22" s="92">
        <v>20</v>
      </c>
      <c r="N22" s="94">
        <v>0</v>
      </c>
      <c r="O22" s="94">
        <v>0</v>
      </c>
      <c r="P22" s="94">
        <v>0</v>
      </c>
      <c r="Q22" s="95">
        <v>0</v>
      </c>
      <c r="R22" s="95">
        <v>0</v>
      </c>
      <c r="S22" s="102">
        <v>0</v>
      </c>
      <c r="T22" s="105">
        <v>0</v>
      </c>
      <c r="U22" s="105">
        <v>0</v>
      </c>
      <c r="V22" s="105">
        <v>0</v>
      </c>
      <c r="W22" s="106">
        <v>0</v>
      </c>
      <c r="X22" s="105">
        <v>0</v>
      </c>
      <c r="Y22" s="105">
        <v>0</v>
      </c>
      <c r="Z22" s="108">
        <v>0</v>
      </c>
      <c r="AA22" s="108">
        <v>0</v>
      </c>
      <c r="AB22" s="108">
        <v>0</v>
      </c>
      <c r="AC22" s="91">
        <v>14</v>
      </c>
      <c r="AD22" s="113">
        <f t="shared" si="0"/>
        <v>8.3000000000000007</v>
      </c>
      <c r="AE22" s="115">
        <v>7</v>
      </c>
      <c r="AF22" s="115">
        <v>9.27</v>
      </c>
      <c r="AG22" s="116">
        <v>0</v>
      </c>
      <c r="AH22" s="116">
        <v>601</v>
      </c>
    </row>
    <row r="23" spans="1:34" x14ac:dyDescent="0.25">
      <c r="A23" s="97"/>
      <c r="B23" s="97"/>
      <c r="C23" s="89" t="s">
        <v>197</v>
      </c>
      <c r="D23" s="1" t="s">
        <v>195</v>
      </c>
      <c r="E23" s="79">
        <v>9</v>
      </c>
      <c r="F23" s="1" t="s">
        <v>196</v>
      </c>
      <c r="G23" s="6" t="s">
        <v>6</v>
      </c>
      <c r="H23" s="98">
        <v>2</v>
      </c>
      <c r="I23" s="64">
        <v>8.34</v>
      </c>
      <c r="J23" s="64">
        <v>0</v>
      </c>
      <c r="K23" s="65">
        <v>0</v>
      </c>
      <c r="L23" s="65">
        <v>0</v>
      </c>
      <c r="M23" s="92">
        <v>20</v>
      </c>
      <c r="N23" s="94">
        <v>0</v>
      </c>
      <c r="O23" s="94">
        <v>0</v>
      </c>
      <c r="P23" s="94">
        <v>0</v>
      </c>
      <c r="Q23" s="95">
        <v>0</v>
      </c>
      <c r="R23" s="95">
        <v>0</v>
      </c>
      <c r="S23" s="102">
        <v>0</v>
      </c>
      <c r="T23" s="105">
        <v>0</v>
      </c>
      <c r="U23" s="105">
        <v>0</v>
      </c>
      <c r="V23" s="105">
        <v>0</v>
      </c>
      <c r="W23" s="106">
        <v>0</v>
      </c>
      <c r="X23" s="105">
        <v>0</v>
      </c>
      <c r="Y23" s="105">
        <v>0</v>
      </c>
      <c r="Z23" s="108">
        <v>0</v>
      </c>
      <c r="AA23" s="108">
        <v>0</v>
      </c>
      <c r="AB23" s="108">
        <v>0</v>
      </c>
      <c r="AC23" s="91">
        <v>14</v>
      </c>
      <c r="AD23" s="113">
        <f t="shared" si="0"/>
        <v>8.34</v>
      </c>
      <c r="AE23" s="115">
        <v>7</v>
      </c>
      <c r="AF23" s="115">
        <v>9.27</v>
      </c>
      <c r="AG23" s="116">
        <v>0</v>
      </c>
      <c r="AH23" s="116">
        <v>601</v>
      </c>
    </row>
    <row r="24" spans="1:34" x14ac:dyDescent="0.25">
      <c r="A24" s="97"/>
      <c r="B24" s="97"/>
      <c r="C24" s="89" t="s">
        <v>197</v>
      </c>
      <c r="D24" s="1" t="s">
        <v>22</v>
      </c>
      <c r="E24" s="79">
        <v>9</v>
      </c>
      <c r="F24" s="1" t="s">
        <v>23</v>
      </c>
      <c r="G24" s="6" t="s">
        <v>6</v>
      </c>
      <c r="H24" s="98">
        <v>1</v>
      </c>
      <c r="I24" s="64">
        <v>3.72</v>
      </c>
      <c r="J24" s="64">
        <v>0</v>
      </c>
      <c r="K24" s="65">
        <v>0</v>
      </c>
      <c r="L24" s="65">
        <v>0</v>
      </c>
      <c r="M24" s="92">
        <v>37</v>
      </c>
      <c r="N24" s="94">
        <v>0</v>
      </c>
      <c r="O24" s="94">
        <v>0</v>
      </c>
      <c r="P24" s="94">
        <v>0</v>
      </c>
      <c r="Q24" s="95">
        <v>0</v>
      </c>
      <c r="R24" s="95">
        <v>0</v>
      </c>
      <c r="S24" s="102">
        <v>0</v>
      </c>
      <c r="T24" s="105">
        <v>0</v>
      </c>
      <c r="U24" s="105">
        <v>0</v>
      </c>
      <c r="V24" s="105">
        <v>0</v>
      </c>
      <c r="W24" s="106">
        <v>0</v>
      </c>
      <c r="X24" s="105">
        <v>0</v>
      </c>
      <c r="Y24" s="105">
        <v>0</v>
      </c>
      <c r="Z24" s="108">
        <v>0</v>
      </c>
      <c r="AA24" s="108">
        <v>0</v>
      </c>
      <c r="AB24" s="108">
        <v>0</v>
      </c>
      <c r="AC24" s="91">
        <f>AC21</f>
        <v>14</v>
      </c>
      <c r="AD24" s="113">
        <f t="shared" si="0"/>
        <v>3.72</v>
      </c>
      <c r="AE24" s="115">
        <v>2.5</v>
      </c>
      <c r="AF24" s="115">
        <v>11.958461538461538</v>
      </c>
      <c r="AG24" s="116">
        <v>0</v>
      </c>
      <c r="AH24" s="116">
        <v>601</v>
      </c>
    </row>
    <row r="25" spans="1:34" x14ac:dyDescent="0.25">
      <c r="A25" s="97"/>
      <c r="B25" s="97"/>
      <c r="C25" s="89" t="s">
        <v>197</v>
      </c>
      <c r="D25" s="1" t="s">
        <v>22</v>
      </c>
      <c r="E25" s="79">
        <v>9</v>
      </c>
      <c r="F25" s="1" t="s">
        <v>23</v>
      </c>
      <c r="G25" s="6" t="s">
        <v>6</v>
      </c>
      <c r="H25" s="98">
        <v>2</v>
      </c>
      <c r="I25" s="64">
        <v>3.34</v>
      </c>
      <c r="J25" s="64">
        <v>0</v>
      </c>
      <c r="K25" s="65">
        <v>0</v>
      </c>
      <c r="L25" s="65">
        <v>0</v>
      </c>
      <c r="M25" s="92">
        <v>37</v>
      </c>
      <c r="N25" s="94">
        <v>0</v>
      </c>
      <c r="O25" s="94">
        <v>0</v>
      </c>
      <c r="P25" s="94">
        <v>0</v>
      </c>
      <c r="Q25" s="95">
        <v>0</v>
      </c>
      <c r="R25" s="95">
        <v>0</v>
      </c>
      <c r="S25" s="102">
        <v>0</v>
      </c>
      <c r="T25" s="105">
        <v>0</v>
      </c>
      <c r="U25" s="105">
        <v>0</v>
      </c>
      <c r="V25" s="105">
        <v>0</v>
      </c>
      <c r="W25" s="106">
        <v>0</v>
      </c>
      <c r="X25" s="105">
        <v>0</v>
      </c>
      <c r="Y25" s="105">
        <v>0</v>
      </c>
      <c r="Z25" s="108">
        <v>0</v>
      </c>
      <c r="AA25" s="108">
        <v>0</v>
      </c>
      <c r="AB25" s="108">
        <v>0</v>
      </c>
      <c r="AC25" s="91">
        <f t="shared" si="1"/>
        <v>14</v>
      </c>
      <c r="AD25" s="113">
        <f t="shared" si="0"/>
        <v>3.34</v>
      </c>
      <c r="AE25" s="115">
        <v>2.5</v>
      </c>
      <c r="AF25" s="115">
        <v>12.226363636363637</v>
      </c>
      <c r="AG25" s="116">
        <v>0</v>
      </c>
      <c r="AH25" s="116">
        <v>601</v>
      </c>
    </row>
    <row r="26" spans="1:34" x14ac:dyDescent="0.25">
      <c r="A26" s="97"/>
      <c r="B26" s="97"/>
      <c r="C26" s="89" t="s">
        <v>197</v>
      </c>
      <c r="D26" s="1" t="s">
        <v>24</v>
      </c>
      <c r="E26" s="79">
        <v>9</v>
      </c>
      <c r="F26" s="1" t="s">
        <v>92</v>
      </c>
      <c r="G26" s="6" t="s">
        <v>25</v>
      </c>
      <c r="H26" s="98">
        <v>1</v>
      </c>
      <c r="I26" s="64">
        <v>28.71</v>
      </c>
      <c r="J26" s="64">
        <v>0</v>
      </c>
      <c r="K26" s="65">
        <v>0</v>
      </c>
      <c r="L26" s="65">
        <v>0</v>
      </c>
      <c r="M26" s="92">
        <v>50</v>
      </c>
      <c r="N26" s="94">
        <v>0</v>
      </c>
      <c r="O26" s="94">
        <v>0</v>
      </c>
      <c r="P26" s="94">
        <v>0</v>
      </c>
      <c r="Q26" s="95">
        <v>0</v>
      </c>
      <c r="R26" s="95">
        <v>0</v>
      </c>
      <c r="S26" s="102">
        <v>0</v>
      </c>
      <c r="T26" s="105">
        <v>0</v>
      </c>
      <c r="U26" s="105">
        <v>0</v>
      </c>
      <c r="V26" s="105">
        <v>0</v>
      </c>
      <c r="W26" s="106">
        <v>0</v>
      </c>
      <c r="X26" s="105">
        <v>0</v>
      </c>
      <c r="Y26" s="105">
        <v>0</v>
      </c>
      <c r="Z26" s="108">
        <v>0</v>
      </c>
      <c r="AA26" s="108">
        <v>0</v>
      </c>
      <c r="AB26" s="108">
        <v>0</v>
      </c>
      <c r="AC26" s="91">
        <v>55</v>
      </c>
      <c r="AD26" s="113">
        <f t="shared" si="0"/>
        <v>28.71</v>
      </c>
      <c r="AE26" s="115">
        <v>26</v>
      </c>
      <c r="AF26" s="115">
        <v>17.337064676616915</v>
      </c>
      <c r="AG26" s="117">
        <v>1.7000000000000001E-2</v>
      </c>
      <c r="AH26" s="116">
        <v>602</v>
      </c>
    </row>
    <row r="27" spans="1:34" x14ac:dyDescent="0.25">
      <c r="A27" s="97"/>
      <c r="B27" s="97"/>
      <c r="C27" s="89" t="s">
        <v>197</v>
      </c>
      <c r="D27" s="1" t="s">
        <v>24</v>
      </c>
      <c r="E27" s="79">
        <v>9</v>
      </c>
      <c r="F27" s="1" t="s">
        <v>92</v>
      </c>
      <c r="G27" s="6" t="s">
        <v>25</v>
      </c>
      <c r="H27" s="98">
        <v>2</v>
      </c>
      <c r="I27" s="64">
        <v>31.03</v>
      </c>
      <c r="J27" s="64">
        <v>0</v>
      </c>
      <c r="K27" s="65">
        <v>0</v>
      </c>
      <c r="L27" s="65">
        <v>0</v>
      </c>
      <c r="M27" s="92">
        <v>50</v>
      </c>
      <c r="N27" s="94">
        <v>0</v>
      </c>
      <c r="O27" s="94">
        <v>0</v>
      </c>
      <c r="P27" s="94">
        <v>0</v>
      </c>
      <c r="Q27" s="95">
        <v>0</v>
      </c>
      <c r="R27" s="95">
        <v>0</v>
      </c>
      <c r="S27" s="102">
        <v>0</v>
      </c>
      <c r="T27" s="105">
        <v>0</v>
      </c>
      <c r="U27" s="105">
        <v>0</v>
      </c>
      <c r="V27" s="105">
        <v>0</v>
      </c>
      <c r="W27" s="106">
        <v>0</v>
      </c>
      <c r="X27" s="105">
        <v>0</v>
      </c>
      <c r="Y27" s="105">
        <v>0</v>
      </c>
      <c r="Z27" s="108">
        <v>0</v>
      </c>
      <c r="AA27" s="108">
        <v>0</v>
      </c>
      <c r="AB27" s="108">
        <v>0</v>
      </c>
      <c r="AC27" s="91">
        <f>AC26</f>
        <v>55</v>
      </c>
      <c r="AD27" s="113">
        <f t="shared" si="0"/>
        <v>31.03</v>
      </c>
      <c r="AE27" s="115">
        <v>26</v>
      </c>
      <c r="AF27" s="115">
        <v>14.857471264367817</v>
      </c>
      <c r="AG27" s="117">
        <v>1.7000000000000001E-2</v>
      </c>
      <c r="AH27" s="116">
        <v>602</v>
      </c>
    </row>
    <row r="28" spans="1:34" x14ac:dyDescent="0.25">
      <c r="A28" s="97"/>
      <c r="B28" s="97"/>
      <c r="C28" s="89" t="s">
        <v>197</v>
      </c>
      <c r="D28" s="1" t="s">
        <v>26</v>
      </c>
      <c r="E28" s="79">
        <v>9</v>
      </c>
      <c r="F28" s="1" t="s">
        <v>93</v>
      </c>
      <c r="G28" s="6" t="s">
        <v>25</v>
      </c>
      <c r="H28" s="98">
        <v>1</v>
      </c>
      <c r="I28" s="64">
        <v>26.92</v>
      </c>
      <c r="J28" s="64">
        <v>0</v>
      </c>
      <c r="K28" s="65">
        <v>0</v>
      </c>
      <c r="L28" s="65">
        <v>0</v>
      </c>
      <c r="M28" s="92">
        <v>50</v>
      </c>
      <c r="N28" s="94">
        <v>0</v>
      </c>
      <c r="O28" s="94">
        <v>0</v>
      </c>
      <c r="P28" s="94">
        <v>0</v>
      </c>
      <c r="Q28" s="95">
        <v>0</v>
      </c>
      <c r="R28" s="95">
        <v>0</v>
      </c>
      <c r="S28" s="102">
        <v>0</v>
      </c>
      <c r="T28" s="105">
        <v>0</v>
      </c>
      <c r="U28" s="105">
        <v>0</v>
      </c>
      <c r="V28" s="105">
        <v>0</v>
      </c>
      <c r="W28" s="106">
        <v>0</v>
      </c>
      <c r="X28" s="105">
        <v>0</v>
      </c>
      <c r="Y28" s="105">
        <v>0</v>
      </c>
      <c r="Z28" s="108">
        <v>0</v>
      </c>
      <c r="AA28" s="108">
        <v>0</v>
      </c>
      <c r="AB28" s="108">
        <v>0</v>
      </c>
      <c r="AC28" s="91">
        <f t="shared" ref="AC28:AC62" si="2">AC27</f>
        <v>55</v>
      </c>
      <c r="AD28" s="113">
        <f t="shared" si="0"/>
        <v>26.92</v>
      </c>
      <c r="AE28" s="115">
        <v>26</v>
      </c>
      <c r="AF28" s="115">
        <v>11.838947368421053</v>
      </c>
      <c r="AG28" s="117">
        <v>1.7000000000000001E-2</v>
      </c>
      <c r="AH28" s="116">
        <v>602</v>
      </c>
    </row>
    <row r="29" spans="1:34" x14ac:dyDescent="0.25">
      <c r="A29" s="97"/>
      <c r="B29" s="97"/>
      <c r="C29" s="89" t="s">
        <v>197</v>
      </c>
      <c r="D29" s="1" t="s">
        <v>26</v>
      </c>
      <c r="E29" s="79">
        <v>9</v>
      </c>
      <c r="F29" s="1" t="s">
        <v>93</v>
      </c>
      <c r="G29" s="6" t="s">
        <v>25</v>
      </c>
      <c r="H29" s="98">
        <v>2</v>
      </c>
      <c r="I29" s="64">
        <v>29.19</v>
      </c>
      <c r="J29" s="64">
        <v>0</v>
      </c>
      <c r="K29" s="65">
        <v>0</v>
      </c>
      <c r="L29" s="65">
        <v>0</v>
      </c>
      <c r="M29" s="92">
        <v>50</v>
      </c>
      <c r="N29" s="94">
        <v>0</v>
      </c>
      <c r="O29" s="94">
        <v>0</v>
      </c>
      <c r="P29" s="94">
        <v>0</v>
      </c>
      <c r="Q29" s="95">
        <v>0</v>
      </c>
      <c r="R29" s="95">
        <v>0</v>
      </c>
      <c r="S29" s="102">
        <v>0</v>
      </c>
      <c r="T29" s="105">
        <v>0</v>
      </c>
      <c r="U29" s="105">
        <v>0</v>
      </c>
      <c r="V29" s="105">
        <v>0</v>
      </c>
      <c r="W29" s="106">
        <v>0</v>
      </c>
      <c r="X29" s="105">
        <v>0</v>
      </c>
      <c r="Y29" s="105">
        <v>0</v>
      </c>
      <c r="Z29" s="108">
        <v>0</v>
      </c>
      <c r="AA29" s="108">
        <v>0</v>
      </c>
      <c r="AB29" s="108">
        <v>0</v>
      </c>
      <c r="AC29" s="91">
        <f t="shared" si="2"/>
        <v>55</v>
      </c>
      <c r="AD29" s="113">
        <f t="shared" si="0"/>
        <v>29.19</v>
      </c>
      <c r="AE29" s="115">
        <v>26</v>
      </c>
      <c r="AF29" s="115">
        <v>16.434545454545454</v>
      </c>
      <c r="AG29" s="117">
        <v>1.7000000000000001E-2</v>
      </c>
      <c r="AH29" s="116">
        <v>602</v>
      </c>
    </row>
    <row r="30" spans="1:34" x14ac:dyDescent="0.25">
      <c r="A30" s="97"/>
      <c r="B30" s="97"/>
      <c r="C30" s="89" t="s">
        <v>197</v>
      </c>
      <c r="D30" s="1" t="s">
        <v>27</v>
      </c>
      <c r="E30" s="79">
        <v>9</v>
      </c>
      <c r="F30" s="1" t="s">
        <v>94</v>
      </c>
      <c r="G30" s="6" t="s">
        <v>25</v>
      </c>
      <c r="H30" s="98">
        <v>1</v>
      </c>
      <c r="I30" s="64">
        <v>28.8</v>
      </c>
      <c r="J30" s="64">
        <v>0</v>
      </c>
      <c r="K30" s="65">
        <v>0</v>
      </c>
      <c r="L30" s="65">
        <v>0</v>
      </c>
      <c r="M30" s="92">
        <v>50</v>
      </c>
      <c r="N30" s="94">
        <v>0</v>
      </c>
      <c r="O30" s="94">
        <v>0</v>
      </c>
      <c r="P30" s="94">
        <v>0</v>
      </c>
      <c r="Q30" s="95">
        <v>0</v>
      </c>
      <c r="R30" s="95">
        <v>0</v>
      </c>
      <c r="S30" s="102">
        <v>0</v>
      </c>
      <c r="T30" s="105">
        <v>0</v>
      </c>
      <c r="U30" s="105">
        <v>0</v>
      </c>
      <c r="V30" s="105">
        <v>0</v>
      </c>
      <c r="W30" s="106">
        <v>0</v>
      </c>
      <c r="X30" s="105">
        <v>0</v>
      </c>
      <c r="Y30" s="105">
        <v>0</v>
      </c>
      <c r="Z30" s="108">
        <v>0</v>
      </c>
      <c r="AA30" s="108">
        <v>0</v>
      </c>
      <c r="AB30" s="108">
        <v>0</v>
      </c>
      <c r="AC30" s="91">
        <f t="shared" si="2"/>
        <v>55</v>
      </c>
      <c r="AD30" s="113">
        <f t="shared" si="0"/>
        <v>28.8</v>
      </c>
      <c r="AE30" s="115">
        <v>26</v>
      </c>
      <c r="AF30" s="115">
        <v>11.274545454545454</v>
      </c>
      <c r="AG30" s="117">
        <v>1.7000000000000001E-2</v>
      </c>
      <c r="AH30" s="116">
        <v>602</v>
      </c>
    </row>
    <row r="31" spans="1:34" x14ac:dyDescent="0.25">
      <c r="A31" s="97"/>
      <c r="B31" s="97"/>
      <c r="C31" s="89" t="s">
        <v>197</v>
      </c>
      <c r="D31" s="1" t="s">
        <v>27</v>
      </c>
      <c r="E31" s="79">
        <v>9</v>
      </c>
      <c r="F31" s="1" t="s">
        <v>94</v>
      </c>
      <c r="G31" s="6" t="s">
        <v>25</v>
      </c>
      <c r="H31" s="98">
        <v>2</v>
      </c>
      <c r="I31" s="64">
        <v>29.35</v>
      </c>
      <c r="J31" s="64">
        <v>0</v>
      </c>
      <c r="K31" s="65">
        <v>0</v>
      </c>
      <c r="L31" s="65">
        <v>0</v>
      </c>
      <c r="M31" s="92">
        <v>50</v>
      </c>
      <c r="N31" s="94">
        <v>0</v>
      </c>
      <c r="O31" s="94">
        <v>0</v>
      </c>
      <c r="P31" s="94">
        <v>0</v>
      </c>
      <c r="Q31" s="95">
        <v>0</v>
      </c>
      <c r="R31" s="95">
        <v>0</v>
      </c>
      <c r="S31" s="102">
        <v>0</v>
      </c>
      <c r="T31" s="105">
        <v>0</v>
      </c>
      <c r="U31" s="105">
        <v>0</v>
      </c>
      <c r="V31" s="105">
        <v>0</v>
      </c>
      <c r="W31" s="106">
        <v>0</v>
      </c>
      <c r="X31" s="105">
        <v>0</v>
      </c>
      <c r="Y31" s="105">
        <v>0</v>
      </c>
      <c r="Z31" s="108">
        <v>0</v>
      </c>
      <c r="AA31" s="108">
        <v>0</v>
      </c>
      <c r="AB31" s="108">
        <v>0</v>
      </c>
      <c r="AC31" s="91">
        <f t="shared" si="2"/>
        <v>55</v>
      </c>
      <c r="AD31" s="113">
        <f t="shared" si="0"/>
        <v>29.35</v>
      </c>
      <c r="AE31" s="115">
        <v>26</v>
      </c>
      <c r="AF31" s="115">
        <v>17.311428571428571</v>
      </c>
      <c r="AG31" s="117">
        <v>1.7000000000000001E-2</v>
      </c>
      <c r="AH31" s="116">
        <v>602</v>
      </c>
    </row>
    <row r="32" spans="1:34" x14ac:dyDescent="0.25">
      <c r="A32" s="97"/>
      <c r="B32" s="97"/>
      <c r="C32" s="89" t="s">
        <v>197</v>
      </c>
      <c r="D32" s="1" t="s">
        <v>28</v>
      </c>
      <c r="E32" s="79">
        <v>9</v>
      </c>
      <c r="F32" s="1" t="s">
        <v>95</v>
      </c>
      <c r="G32" s="6" t="s">
        <v>25</v>
      </c>
      <c r="H32" s="98">
        <v>1</v>
      </c>
      <c r="I32" s="64">
        <v>29.13</v>
      </c>
      <c r="J32" s="64">
        <v>0.65500000000000003</v>
      </c>
      <c r="K32" s="65">
        <v>0</v>
      </c>
      <c r="L32" s="65">
        <v>0</v>
      </c>
      <c r="M32" s="92">
        <v>50</v>
      </c>
      <c r="N32" s="94">
        <v>0</v>
      </c>
      <c r="O32" s="94">
        <v>0</v>
      </c>
      <c r="P32" s="94">
        <v>0</v>
      </c>
      <c r="Q32" s="95">
        <v>0</v>
      </c>
      <c r="R32" s="95">
        <v>0</v>
      </c>
      <c r="S32" s="102">
        <v>0</v>
      </c>
      <c r="T32" s="105">
        <v>0</v>
      </c>
      <c r="U32" s="105">
        <v>0</v>
      </c>
      <c r="V32" s="105">
        <v>0</v>
      </c>
      <c r="W32" s="106">
        <v>0</v>
      </c>
      <c r="X32" s="105">
        <v>0</v>
      </c>
      <c r="Y32" s="105">
        <v>0</v>
      </c>
      <c r="Z32" s="108">
        <v>0</v>
      </c>
      <c r="AA32" s="108">
        <v>0</v>
      </c>
      <c r="AB32" s="108">
        <v>0</v>
      </c>
      <c r="AC32" s="91">
        <f t="shared" si="2"/>
        <v>55</v>
      </c>
      <c r="AD32" s="113">
        <f t="shared" si="0"/>
        <v>29.785</v>
      </c>
      <c r="AE32" s="115">
        <v>26</v>
      </c>
      <c r="AF32" s="115">
        <v>2.7683636363636364</v>
      </c>
      <c r="AG32" s="117">
        <v>1.7000000000000001E-2</v>
      </c>
      <c r="AH32" s="116">
        <v>602</v>
      </c>
    </row>
    <row r="33" spans="1:34" x14ac:dyDescent="0.25">
      <c r="A33" s="97"/>
      <c r="B33" s="97"/>
      <c r="C33" s="89" t="s">
        <v>197</v>
      </c>
      <c r="D33" s="1" t="s">
        <v>29</v>
      </c>
      <c r="E33" s="79">
        <v>9</v>
      </c>
      <c r="F33" s="1" t="s">
        <v>96</v>
      </c>
      <c r="G33" s="6" t="s">
        <v>25</v>
      </c>
      <c r="H33" s="98">
        <v>1</v>
      </c>
      <c r="I33" s="64">
        <v>32.57</v>
      </c>
      <c r="J33" s="64">
        <v>0</v>
      </c>
      <c r="K33" s="65">
        <v>0</v>
      </c>
      <c r="L33" s="65">
        <v>0</v>
      </c>
      <c r="M33" s="92">
        <v>48</v>
      </c>
      <c r="N33" s="94">
        <v>0</v>
      </c>
      <c r="O33" s="94">
        <v>0</v>
      </c>
      <c r="P33" s="94">
        <v>0</v>
      </c>
      <c r="Q33" s="95">
        <v>0</v>
      </c>
      <c r="R33" s="95">
        <v>0</v>
      </c>
      <c r="S33" s="102">
        <v>0</v>
      </c>
      <c r="T33" s="105">
        <v>0</v>
      </c>
      <c r="U33" s="105">
        <v>0</v>
      </c>
      <c r="V33" s="105">
        <v>0</v>
      </c>
      <c r="W33" s="106">
        <v>0</v>
      </c>
      <c r="X33" s="105">
        <v>0</v>
      </c>
      <c r="Y33" s="105">
        <v>0</v>
      </c>
      <c r="Z33" s="108">
        <v>0</v>
      </c>
      <c r="AA33" s="108">
        <v>0</v>
      </c>
      <c r="AB33" s="108">
        <v>0</v>
      </c>
      <c r="AC33" s="91">
        <f t="shared" si="2"/>
        <v>55</v>
      </c>
      <c r="AD33" s="113">
        <f t="shared" si="0"/>
        <v>32.57</v>
      </c>
      <c r="AE33" s="115">
        <v>30</v>
      </c>
      <c r="AF33" s="115">
        <v>2.8534107579462105</v>
      </c>
      <c r="AG33" s="117">
        <v>2.35E-2</v>
      </c>
      <c r="AH33" s="116">
        <v>618</v>
      </c>
    </row>
    <row r="34" spans="1:34" x14ac:dyDescent="0.25">
      <c r="A34" s="97"/>
      <c r="B34" s="97"/>
      <c r="C34" s="89" t="s">
        <v>197</v>
      </c>
      <c r="D34" s="1" t="s">
        <v>29</v>
      </c>
      <c r="E34" s="79">
        <v>9</v>
      </c>
      <c r="F34" s="1" t="s">
        <v>96</v>
      </c>
      <c r="G34" s="6" t="s">
        <v>25</v>
      </c>
      <c r="H34" s="98">
        <v>2</v>
      </c>
      <c r="I34" s="64">
        <v>32.79</v>
      </c>
      <c r="J34" s="64">
        <v>0</v>
      </c>
      <c r="K34" s="65">
        <v>0</v>
      </c>
      <c r="L34" s="65">
        <v>0</v>
      </c>
      <c r="M34" s="92">
        <v>48</v>
      </c>
      <c r="N34" s="94">
        <v>0</v>
      </c>
      <c r="O34" s="94">
        <v>0</v>
      </c>
      <c r="P34" s="94">
        <v>0</v>
      </c>
      <c r="Q34" s="95">
        <v>0</v>
      </c>
      <c r="R34" s="95">
        <v>0</v>
      </c>
      <c r="S34" s="102">
        <v>0</v>
      </c>
      <c r="T34" s="105">
        <v>0</v>
      </c>
      <c r="U34" s="105">
        <v>0</v>
      </c>
      <c r="V34" s="105">
        <v>0</v>
      </c>
      <c r="W34" s="106">
        <v>0</v>
      </c>
      <c r="X34" s="105">
        <v>0</v>
      </c>
      <c r="Y34" s="105">
        <v>0</v>
      </c>
      <c r="Z34" s="108">
        <v>0</v>
      </c>
      <c r="AA34" s="108">
        <v>0</v>
      </c>
      <c r="AB34" s="108">
        <v>0</v>
      </c>
      <c r="AC34" s="91">
        <f t="shared" si="2"/>
        <v>55</v>
      </c>
      <c r="AD34" s="113">
        <f t="shared" si="0"/>
        <v>32.79</v>
      </c>
      <c r="AE34" s="115">
        <v>30</v>
      </c>
      <c r="AF34" s="115">
        <v>16.881714285714285</v>
      </c>
      <c r="AG34" s="117">
        <v>2.35E-2</v>
      </c>
      <c r="AH34" s="116">
        <v>618</v>
      </c>
    </row>
    <row r="35" spans="1:34" x14ac:dyDescent="0.25">
      <c r="A35" s="97"/>
      <c r="B35" s="97"/>
      <c r="C35" s="89" t="s">
        <v>197</v>
      </c>
      <c r="D35" s="1" t="s">
        <v>30</v>
      </c>
      <c r="E35" s="79">
        <v>9</v>
      </c>
      <c r="F35" s="1" t="s">
        <v>97</v>
      </c>
      <c r="G35" s="6" t="s">
        <v>25</v>
      </c>
      <c r="H35" s="98">
        <v>1</v>
      </c>
      <c r="I35" s="64">
        <v>30.29</v>
      </c>
      <c r="J35" s="64">
        <v>0</v>
      </c>
      <c r="K35" s="65">
        <v>0</v>
      </c>
      <c r="L35" s="65">
        <v>0</v>
      </c>
      <c r="M35" s="92">
        <v>52</v>
      </c>
      <c r="N35" s="94">
        <v>0</v>
      </c>
      <c r="O35" s="94">
        <v>0</v>
      </c>
      <c r="P35" s="94">
        <v>0</v>
      </c>
      <c r="Q35" s="95">
        <v>0</v>
      </c>
      <c r="R35" s="95">
        <v>0</v>
      </c>
      <c r="S35" s="102">
        <v>0</v>
      </c>
      <c r="T35" s="105">
        <v>0</v>
      </c>
      <c r="U35" s="105">
        <v>0</v>
      </c>
      <c r="V35" s="105">
        <v>0</v>
      </c>
      <c r="W35" s="106">
        <v>0</v>
      </c>
      <c r="X35" s="105">
        <v>0</v>
      </c>
      <c r="Y35" s="105">
        <v>0</v>
      </c>
      <c r="Z35" s="108">
        <v>0</v>
      </c>
      <c r="AA35" s="108">
        <v>0</v>
      </c>
      <c r="AB35" s="108">
        <v>0</v>
      </c>
      <c r="AC35" s="91">
        <f t="shared" si="2"/>
        <v>55</v>
      </c>
      <c r="AD35" s="113">
        <f t="shared" si="0"/>
        <v>30.29</v>
      </c>
      <c r="AE35" s="115">
        <v>58</v>
      </c>
      <c r="AF35" s="115">
        <v>44.5</v>
      </c>
      <c r="AG35" s="117">
        <v>2.35E-2</v>
      </c>
      <c r="AH35" s="116">
        <v>623</v>
      </c>
    </row>
    <row r="36" spans="1:34" x14ac:dyDescent="0.25">
      <c r="A36" s="97"/>
      <c r="B36" s="97"/>
      <c r="C36" s="89" t="s">
        <v>197</v>
      </c>
      <c r="D36" s="1" t="s">
        <v>30</v>
      </c>
      <c r="E36" s="79">
        <v>9</v>
      </c>
      <c r="F36" s="1" t="s">
        <v>97</v>
      </c>
      <c r="G36" s="6" t="s">
        <v>25</v>
      </c>
      <c r="H36" s="98">
        <v>2</v>
      </c>
      <c r="I36" s="64">
        <v>29.83</v>
      </c>
      <c r="J36" s="64">
        <v>0</v>
      </c>
      <c r="K36" s="65">
        <v>0</v>
      </c>
      <c r="L36" s="65">
        <v>0</v>
      </c>
      <c r="M36" s="92">
        <v>52</v>
      </c>
      <c r="N36" s="94">
        <v>0</v>
      </c>
      <c r="O36" s="94">
        <v>0</v>
      </c>
      <c r="P36" s="94">
        <v>0</v>
      </c>
      <c r="Q36" s="95">
        <v>0</v>
      </c>
      <c r="R36" s="95">
        <v>0</v>
      </c>
      <c r="S36" s="102">
        <v>0</v>
      </c>
      <c r="T36" s="105">
        <v>0</v>
      </c>
      <c r="U36" s="105">
        <v>0</v>
      </c>
      <c r="V36" s="105">
        <v>0</v>
      </c>
      <c r="W36" s="106">
        <v>0</v>
      </c>
      <c r="X36" s="105">
        <v>0</v>
      </c>
      <c r="Y36" s="105">
        <v>0</v>
      </c>
      <c r="Z36" s="108">
        <v>0</v>
      </c>
      <c r="AA36" s="108">
        <v>0</v>
      </c>
      <c r="AB36" s="108">
        <v>0</v>
      </c>
      <c r="AC36" s="91">
        <f t="shared" si="2"/>
        <v>55</v>
      </c>
      <c r="AD36" s="113">
        <f t="shared" si="0"/>
        <v>29.83</v>
      </c>
      <c r="AE36" s="115">
        <v>58</v>
      </c>
      <c r="AF36" s="115">
        <v>44.5</v>
      </c>
      <c r="AG36" s="117">
        <v>2.35E-2</v>
      </c>
      <c r="AH36" s="116">
        <v>623</v>
      </c>
    </row>
    <row r="37" spans="1:34" x14ac:dyDescent="0.25">
      <c r="A37" s="97"/>
      <c r="B37" s="97"/>
      <c r="C37" s="89" t="s">
        <v>197</v>
      </c>
      <c r="D37" s="1" t="s">
        <v>31</v>
      </c>
      <c r="E37" s="79">
        <v>9</v>
      </c>
      <c r="F37" s="1" t="s">
        <v>98</v>
      </c>
      <c r="G37" s="6" t="s">
        <v>25</v>
      </c>
      <c r="H37" s="98">
        <v>1</v>
      </c>
      <c r="I37" s="64">
        <v>37.92</v>
      </c>
      <c r="J37" s="64">
        <v>0</v>
      </c>
      <c r="K37" s="65">
        <v>0</v>
      </c>
      <c r="L37" s="65">
        <v>0</v>
      </c>
      <c r="M37" s="92">
        <v>50</v>
      </c>
      <c r="N37" s="94">
        <v>0</v>
      </c>
      <c r="O37" s="94">
        <v>0</v>
      </c>
      <c r="P37" s="94">
        <v>0</v>
      </c>
      <c r="Q37" s="95">
        <v>0</v>
      </c>
      <c r="R37" s="95">
        <v>0</v>
      </c>
      <c r="S37" s="102">
        <v>0</v>
      </c>
      <c r="T37" s="105">
        <v>0</v>
      </c>
      <c r="U37" s="105">
        <v>0</v>
      </c>
      <c r="V37" s="105">
        <v>0</v>
      </c>
      <c r="W37" s="106">
        <v>0</v>
      </c>
      <c r="X37" s="105">
        <v>0</v>
      </c>
      <c r="Y37" s="105">
        <v>0</v>
      </c>
      <c r="Z37" s="108">
        <v>0</v>
      </c>
      <c r="AA37" s="108">
        <v>0</v>
      </c>
      <c r="AB37" s="108">
        <v>0</v>
      </c>
      <c r="AC37" s="91">
        <f t="shared" si="2"/>
        <v>55</v>
      </c>
      <c r="AD37" s="113">
        <f t="shared" si="0"/>
        <v>37.92</v>
      </c>
      <c r="AE37" s="115">
        <v>32</v>
      </c>
      <c r="AF37" s="115">
        <v>11.182857142857143</v>
      </c>
      <c r="AG37" s="117">
        <v>2.5000000000000001E-2</v>
      </c>
      <c r="AH37" s="116">
        <v>618</v>
      </c>
    </row>
    <row r="38" spans="1:34" x14ac:dyDescent="0.25">
      <c r="A38" s="97"/>
      <c r="B38" s="97"/>
      <c r="C38" s="89" t="s">
        <v>197</v>
      </c>
      <c r="D38" s="1" t="s">
        <v>31</v>
      </c>
      <c r="E38" s="79">
        <v>9</v>
      </c>
      <c r="F38" s="1" t="s">
        <v>98</v>
      </c>
      <c r="G38" s="6" t="s">
        <v>25</v>
      </c>
      <c r="H38" s="98">
        <v>2</v>
      </c>
      <c r="I38" s="64">
        <v>38.04</v>
      </c>
      <c r="J38" s="64">
        <v>0</v>
      </c>
      <c r="K38" s="65">
        <v>0</v>
      </c>
      <c r="L38" s="65">
        <v>0</v>
      </c>
      <c r="M38" s="92">
        <v>50</v>
      </c>
      <c r="N38" s="94">
        <v>0</v>
      </c>
      <c r="O38" s="94">
        <v>0</v>
      </c>
      <c r="P38" s="94">
        <v>0</v>
      </c>
      <c r="Q38" s="95">
        <v>0</v>
      </c>
      <c r="R38" s="95">
        <v>0</v>
      </c>
      <c r="S38" s="102">
        <v>0</v>
      </c>
      <c r="T38" s="105">
        <v>0</v>
      </c>
      <c r="U38" s="105">
        <v>0</v>
      </c>
      <c r="V38" s="105">
        <v>0</v>
      </c>
      <c r="W38" s="106">
        <v>0</v>
      </c>
      <c r="X38" s="105">
        <v>0</v>
      </c>
      <c r="Y38" s="105">
        <v>0</v>
      </c>
      <c r="Z38" s="108">
        <v>0</v>
      </c>
      <c r="AA38" s="108">
        <v>0</v>
      </c>
      <c r="AB38" s="108">
        <v>0</v>
      </c>
      <c r="AC38" s="91">
        <f t="shared" si="2"/>
        <v>55</v>
      </c>
      <c r="AD38" s="113">
        <f t="shared" si="0"/>
        <v>38.04</v>
      </c>
      <c r="AE38" s="115">
        <v>32</v>
      </c>
      <c r="AF38" s="115">
        <v>15.706</v>
      </c>
      <c r="AG38" s="117">
        <v>2.5000000000000001E-2</v>
      </c>
      <c r="AH38" s="116">
        <v>618</v>
      </c>
    </row>
    <row r="39" spans="1:34" x14ac:dyDescent="0.25">
      <c r="A39" s="97"/>
      <c r="B39" s="97"/>
      <c r="C39" s="89" t="s">
        <v>197</v>
      </c>
      <c r="D39" s="1" t="s">
        <v>32</v>
      </c>
      <c r="E39" s="79">
        <v>9</v>
      </c>
      <c r="F39" s="1" t="s">
        <v>99</v>
      </c>
      <c r="G39" s="6" t="s">
        <v>25</v>
      </c>
      <c r="H39" s="98">
        <v>1</v>
      </c>
      <c r="I39" s="64">
        <v>36.96</v>
      </c>
      <c r="J39" s="64">
        <v>0</v>
      </c>
      <c r="K39" s="65">
        <v>0</v>
      </c>
      <c r="L39" s="65">
        <v>0</v>
      </c>
      <c r="M39" s="92">
        <v>50</v>
      </c>
      <c r="N39" s="94">
        <v>0</v>
      </c>
      <c r="O39" s="94">
        <v>0</v>
      </c>
      <c r="P39" s="94">
        <v>0</v>
      </c>
      <c r="Q39" s="95">
        <v>0</v>
      </c>
      <c r="R39" s="95">
        <v>0</v>
      </c>
      <c r="S39" s="102">
        <v>0</v>
      </c>
      <c r="T39" s="105">
        <v>0</v>
      </c>
      <c r="U39" s="105">
        <v>0</v>
      </c>
      <c r="V39" s="105">
        <v>0</v>
      </c>
      <c r="W39" s="106">
        <v>0</v>
      </c>
      <c r="X39" s="105">
        <v>0</v>
      </c>
      <c r="Y39" s="105">
        <v>0</v>
      </c>
      <c r="Z39" s="108">
        <v>0</v>
      </c>
      <c r="AA39" s="108">
        <v>0</v>
      </c>
      <c r="AB39" s="108">
        <v>0</v>
      </c>
      <c r="AC39" s="91">
        <f t="shared" si="2"/>
        <v>55</v>
      </c>
      <c r="AD39" s="113">
        <f t="shared" si="0"/>
        <v>36.96</v>
      </c>
      <c r="AE39" s="115">
        <v>32</v>
      </c>
      <c r="AF39" s="115">
        <v>19.162528735632186</v>
      </c>
      <c r="AG39" s="117">
        <v>2.5000000000000001E-2</v>
      </c>
      <c r="AH39" s="116">
        <v>618</v>
      </c>
    </row>
    <row r="40" spans="1:34" x14ac:dyDescent="0.25">
      <c r="A40" s="97"/>
      <c r="B40" s="97"/>
      <c r="C40" s="89" t="s">
        <v>197</v>
      </c>
      <c r="D40" s="1" t="s">
        <v>32</v>
      </c>
      <c r="E40" s="79">
        <v>9</v>
      </c>
      <c r="F40" s="1" t="s">
        <v>99</v>
      </c>
      <c r="G40" s="6" t="s">
        <v>25</v>
      </c>
      <c r="H40" s="98">
        <v>2</v>
      </c>
      <c r="I40" s="64">
        <v>37.4</v>
      </c>
      <c r="J40" s="64">
        <v>0</v>
      </c>
      <c r="K40" s="65">
        <v>0</v>
      </c>
      <c r="L40" s="65">
        <v>0</v>
      </c>
      <c r="M40" s="92">
        <v>50</v>
      </c>
      <c r="N40" s="94">
        <v>0</v>
      </c>
      <c r="O40" s="94">
        <v>0</v>
      </c>
      <c r="P40" s="94">
        <v>0</v>
      </c>
      <c r="Q40" s="95">
        <v>0</v>
      </c>
      <c r="R40" s="95">
        <v>0</v>
      </c>
      <c r="S40" s="102">
        <v>0</v>
      </c>
      <c r="T40" s="105">
        <v>0</v>
      </c>
      <c r="U40" s="105">
        <v>0</v>
      </c>
      <c r="V40" s="105">
        <v>0</v>
      </c>
      <c r="W40" s="106">
        <v>0</v>
      </c>
      <c r="X40" s="105">
        <v>0</v>
      </c>
      <c r="Y40" s="105">
        <v>0</v>
      </c>
      <c r="Z40" s="108">
        <v>0</v>
      </c>
      <c r="AA40" s="108">
        <v>0</v>
      </c>
      <c r="AB40" s="108">
        <v>0</v>
      </c>
      <c r="AC40" s="91">
        <f t="shared" si="2"/>
        <v>55</v>
      </c>
      <c r="AD40" s="113">
        <f t="shared" si="0"/>
        <v>37.4</v>
      </c>
      <c r="AE40" s="115">
        <v>32</v>
      </c>
      <c r="AF40" s="115">
        <v>4.8460000000000001</v>
      </c>
      <c r="AG40" s="117">
        <v>2.5000000000000001E-2</v>
      </c>
      <c r="AH40" s="116">
        <v>618</v>
      </c>
    </row>
    <row r="41" spans="1:34" x14ac:dyDescent="0.25">
      <c r="A41" s="97"/>
      <c r="B41" s="97"/>
      <c r="C41" s="89" t="s">
        <v>197</v>
      </c>
      <c r="D41" s="1" t="s">
        <v>33</v>
      </c>
      <c r="E41" s="79">
        <v>9</v>
      </c>
      <c r="F41" s="1" t="s">
        <v>100</v>
      </c>
      <c r="G41" s="6" t="s">
        <v>25</v>
      </c>
      <c r="H41" s="98">
        <v>1</v>
      </c>
      <c r="I41" s="64">
        <v>38.42</v>
      </c>
      <c r="J41" s="64">
        <v>0</v>
      </c>
      <c r="K41" s="65">
        <v>0</v>
      </c>
      <c r="L41" s="65">
        <v>0</v>
      </c>
      <c r="M41" s="92">
        <v>50</v>
      </c>
      <c r="N41" s="94">
        <v>0</v>
      </c>
      <c r="O41" s="94">
        <v>0</v>
      </c>
      <c r="P41" s="94">
        <v>0</v>
      </c>
      <c r="Q41" s="95">
        <v>0</v>
      </c>
      <c r="R41" s="95">
        <v>0</v>
      </c>
      <c r="S41" s="102">
        <v>0</v>
      </c>
      <c r="T41" s="105">
        <v>0</v>
      </c>
      <c r="U41" s="105">
        <v>0</v>
      </c>
      <c r="V41" s="105">
        <v>0</v>
      </c>
      <c r="W41" s="106">
        <v>0</v>
      </c>
      <c r="X41" s="105">
        <v>0</v>
      </c>
      <c r="Y41" s="105">
        <v>0</v>
      </c>
      <c r="Z41" s="108">
        <v>0</v>
      </c>
      <c r="AA41" s="108">
        <v>0</v>
      </c>
      <c r="AB41" s="108">
        <v>0</v>
      </c>
      <c r="AC41" s="91">
        <f t="shared" si="2"/>
        <v>55</v>
      </c>
      <c r="AD41" s="113">
        <f t="shared" si="0"/>
        <v>38.42</v>
      </c>
      <c r="AE41" s="115">
        <v>0</v>
      </c>
      <c r="AF41" s="115">
        <v>11.330714285714285</v>
      </c>
      <c r="AG41" s="117">
        <v>1.2999999999999999E-2</v>
      </c>
      <c r="AH41" s="116">
        <v>617</v>
      </c>
    </row>
    <row r="42" spans="1:34" x14ac:dyDescent="0.25">
      <c r="A42" s="97"/>
      <c r="B42" s="97"/>
      <c r="C42" s="89" t="s">
        <v>197</v>
      </c>
      <c r="D42" s="1" t="s">
        <v>33</v>
      </c>
      <c r="E42" s="79">
        <v>9</v>
      </c>
      <c r="F42" s="1" t="s">
        <v>100</v>
      </c>
      <c r="G42" s="6" t="s">
        <v>25</v>
      </c>
      <c r="H42" s="98">
        <v>2</v>
      </c>
      <c r="I42" s="64">
        <v>38.869999999999997</v>
      </c>
      <c r="J42" s="64">
        <v>0</v>
      </c>
      <c r="K42" s="65">
        <v>0</v>
      </c>
      <c r="L42" s="65">
        <v>0</v>
      </c>
      <c r="M42" s="92">
        <v>50</v>
      </c>
      <c r="N42" s="94">
        <v>0</v>
      </c>
      <c r="O42" s="94">
        <v>0</v>
      </c>
      <c r="P42" s="94">
        <v>0</v>
      </c>
      <c r="Q42" s="95">
        <v>0</v>
      </c>
      <c r="R42" s="95">
        <v>0</v>
      </c>
      <c r="S42" s="102">
        <v>0</v>
      </c>
      <c r="T42" s="105">
        <v>0</v>
      </c>
      <c r="U42" s="105">
        <v>0</v>
      </c>
      <c r="V42" s="105">
        <v>0</v>
      </c>
      <c r="W42" s="106">
        <v>0</v>
      </c>
      <c r="X42" s="105">
        <v>0</v>
      </c>
      <c r="Y42" s="105">
        <v>0</v>
      </c>
      <c r="Z42" s="108">
        <v>0</v>
      </c>
      <c r="AA42" s="108">
        <v>0</v>
      </c>
      <c r="AB42" s="108">
        <v>0</v>
      </c>
      <c r="AC42" s="91">
        <f t="shared" si="2"/>
        <v>55</v>
      </c>
      <c r="AD42" s="113">
        <f t="shared" si="0"/>
        <v>38.869999999999997</v>
      </c>
      <c r="AE42" s="115">
        <v>0</v>
      </c>
      <c r="AF42" s="115">
        <v>11.330714285714285</v>
      </c>
      <c r="AG42" s="117">
        <v>1.2999999999999999E-2</v>
      </c>
      <c r="AH42" s="116">
        <v>617</v>
      </c>
    </row>
    <row r="43" spans="1:34" x14ac:dyDescent="0.25">
      <c r="A43" s="97"/>
      <c r="B43" s="97"/>
      <c r="C43" s="89" t="s">
        <v>197</v>
      </c>
      <c r="D43" s="1" t="s">
        <v>34</v>
      </c>
      <c r="E43" s="79">
        <v>9</v>
      </c>
      <c r="F43" s="1" t="s">
        <v>101</v>
      </c>
      <c r="G43" s="6" t="s">
        <v>25</v>
      </c>
      <c r="H43" s="98">
        <v>1</v>
      </c>
      <c r="I43" s="64">
        <v>40.840000000000003</v>
      </c>
      <c r="J43" s="64">
        <v>0</v>
      </c>
      <c r="K43" s="65">
        <v>0</v>
      </c>
      <c r="L43" s="65">
        <v>0</v>
      </c>
      <c r="M43" s="92">
        <v>50</v>
      </c>
      <c r="N43" s="94">
        <v>0</v>
      </c>
      <c r="O43" s="94">
        <v>0</v>
      </c>
      <c r="P43" s="94">
        <v>0</v>
      </c>
      <c r="Q43" s="95">
        <v>0</v>
      </c>
      <c r="R43" s="95">
        <v>0</v>
      </c>
      <c r="S43" s="102">
        <v>0</v>
      </c>
      <c r="T43" s="105">
        <v>0</v>
      </c>
      <c r="U43" s="105">
        <v>0</v>
      </c>
      <c r="V43" s="105">
        <v>0</v>
      </c>
      <c r="W43" s="106">
        <v>0</v>
      </c>
      <c r="X43" s="105">
        <v>0</v>
      </c>
      <c r="Y43" s="105">
        <v>0</v>
      </c>
      <c r="Z43" s="108">
        <v>0</v>
      </c>
      <c r="AA43" s="108">
        <v>0</v>
      </c>
      <c r="AB43" s="108">
        <v>0</v>
      </c>
      <c r="AC43" s="91">
        <f t="shared" si="2"/>
        <v>55</v>
      </c>
      <c r="AD43" s="113">
        <f t="shared" si="0"/>
        <v>40.840000000000003</v>
      </c>
      <c r="AE43" s="115">
        <v>0</v>
      </c>
      <c r="AF43" s="115">
        <v>14.051666666666668</v>
      </c>
      <c r="AG43" s="117">
        <v>1.2999999999999999E-2</v>
      </c>
      <c r="AH43" s="116">
        <v>618</v>
      </c>
    </row>
    <row r="44" spans="1:34" x14ac:dyDescent="0.25">
      <c r="A44" s="97"/>
      <c r="B44" s="97"/>
      <c r="C44" s="89" t="s">
        <v>197</v>
      </c>
      <c r="D44" s="1" t="s">
        <v>34</v>
      </c>
      <c r="E44" s="79">
        <v>9</v>
      </c>
      <c r="F44" s="1" t="s">
        <v>101</v>
      </c>
      <c r="G44" s="6" t="s">
        <v>25</v>
      </c>
      <c r="H44" s="98">
        <v>2</v>
      </c>
      <c r="I44" s="64">
        <v>42.87</v>
      </c>
      <c r="J44" s="64">
        <v>0</v>
      </c>
      <c r="K44" s="65">
        <v>0</v>
      </c>
      <c r="L44" s="65">
        <v>0</v>
      </c>
      <c r="M44" s="92">
        <v>50</v>
      </c>
      <c r="N44" s="94">
        <v>0</v>
      </c>
      <c r="O44" s="94">
        <v>0</v>
      </c>
      <c r="P44" s="94">
        <v>0</v>
      </c>
      <c r="Q44" s="95">
        <v>0</v>
      </c>
      <c r="R44" s="95">
        <v>0</v>
      </c>
      <c r="S44" s="102">
        <v>0</v>
      </c>
      <c r="T44" s="105">
        <v>0</v>
      </c>
      <c r="U44" s="105">
        <v>0</v>
      </c>
      <c r="V44" s="105">
        <v>0</v>
      </c>
      <c r="W44" s="106">
        <v>0</v>
      </c>
      <c r="X44" s="105">
        <v>0</v>
      </c>
      <c r="Y44" s="105">
        <v>0</v>
      </c>
      <c r="Z44" s="108">
        <v>0</v>
      </c>
      <c r="AA44" s="108">
        <v>0</v>
      </c>
      <c r="AB44" s="108">
        <v>0</v>
      </c>
      <c r="AC44" s="91">
        <f t="shared" si="2"/>
        <v>55</v>
      </c>
      <c r="AD44" s="113">
        <f t="shared" si="0"/>
        <v>42.87</v>
      </c>
      <c r="AE44" s="115">
        <v>0</v>
      </c>
      <c r="AF44" s="115">
        <v>11.0625</v>
      </c>
      <c r="AG44" s="117">
        <v>1.2999999999999999E-2</v>
      </c>
      <c r="AH44" s="116">
        <v>618</v>
      </c>
    </row>
    <row r="45" spans="1:34" x14ac:dyDescent="0.25">
      <c r="A45" s="97"/>
      <c r="B45" s="97"/>
      <c r="C45" s="89" t="s">
        <v>197</v>
      </c>
      <c r="D45" s="1" t="s">
        <v>35</v>
      </c>
      <c r="E45" s="79">
        <v>9</v>
      </c>
      <c r="F45" s="1" t="s">
        <v>102</v>
      </c>
      <c r="G45" s="6" t="s">
        <v>25</v>
      </c>
      <c r="H45" s="98">
        <v>1</v>
      </c>
      <c r="I45" s="64">
        <v>23.27</v>
      </c>
      <c r="J45" s="64">
        <v>0</v>
      </c>
      <c r="K45" s="65">
        <v>0</v>
      </c>
      <c r="L45" s="65">
        <v>0</v>
      </c>
      <c r="M45" s="92">
        <v>47</v>
      </c>
      <c r="N45" s="94">
        <v>0</v>
      </c>
      <c r="O45" s="94">
        <v>0</v>
      </c>
      <c r="P45" s="94">
        <v>0</v>
      </c>
      <c r="Q45" s="95">
        <v>0</v>
      </c>
      <c r="R45" s="95">
        <v>0</v>
      </c>
      <c r="S45" s="102">
        <v>0</v>
      </c>
      <c r="T45" s="105">
        <v>0</v>
      </c>
      <c r="U45" s="105">
        <v>0</v>
      </c>
      <c r="V45" s="105">
        <v>0</v>
      </c>
      <c r="W45" s="106">
        <v>0</v>
      </c>
      <c r="X45" s="105">
        <v>0</v>
      </c>
      <c r="Y45" s="105">
        <v>0</v>
      </c>
      <c r="Z45" s="108">
        <v>0</v>
      </c>
      <c r="AA45" s="108">
        <v>0</v>
      </c>
      <c r="AB45" s="108">
        <v>0</v>
      </c>
      <c r="AC45" s="91">
        <f t="shared" si="2"/>
        <v>55</v>
      </c>
      <c r="AD45" s="113">
        <f t="shared" si="0"/>
        <v>23.27</v>
      </c>
      <c r="AE45" s="115">
        <v>20</v>
      </c>
      <c r="AF45" s="115">
        <v>10.802888888888889</v>
      </c>
      <c r="AG45" s="117">
        <v>1.2999999999999999E-2</v>
      </c>
      <c r="AH45" s="116">
        <v>601</v>
      </c>
    </row>
    <row r="46" spans="1:34" x14ac:dyDescent="0.25">
      <c r="A46" s="97"/>
      <c r="B46" s="97"/>
      <c r="C46" s="89" t="s">
        <v>197</v>
      </c>
      <c r="D46" s="1" t="s">
        <v>35</v>
      </c>
      <c r="E46" s="79">
        <v>9</v>
      </c>
      <c r="F46" s="1" t="s">
        <v>102</v>
      </c>
      <c r="G46" s="6" t="s">
        <v>25</v>
      </c>
      <c r="H46" s="98">
        <v>2</v>
      </c>
      <c r="I46" s="64">
        <v>23.774999999999999</v>
      </c>
      <c r="J46" s="64">
        <v>0</v>
      </c>
      <c r="K46" s="65">
        <v>0</v>
      </c>
      <c r="L46" s="65">
        <v>0</v>
      </c>
      <c r="M46" s="92">
        <v>47</v>
      </c>
      <c r="N46" s="94">
        <v>0</v>
      </c>
      <c r="O46" s="94">
        <v>0</v>
      </c>
      <c r="P46" s="94">
        <v>0</v>
      </c>
      <c r="Q46" s="95">
        <v>0</v>
      </c>
      <c r="R46" s="95">
        <v>0</v>
      </c>
      <c r="S46" s="102">
        <v>0</v>
      </c>
      <c r="T46" s="105">
        <v>0</v>
      </c>
      <c r="U46" s="105">
        <v>0</v>
      </c>
      <c r="V46" s="105">
        <v>0</v>
      </c>
      <c r="W46" s="106">
        <v>0</v>
      </c>
      <c r="X46" s="105">
        <v>0</v>
      </c>
      <c r="Y46" s="105">
        <v>0</v>
      </c>
      <c r="Z46" s="108">
        <v>0</v>
      </c>
      <c r="AA46" s="108">
        <v>0</v>
      </c>
      <c r="AB46" s="108">
        <v>0</v>
      </c>
      <c r="AC46" s="91">
        <f t="shared" si="2"/>
        <v>55</v>
      </c>
      <c r="AD46" s="113">
        <f t="shared" si="0"/>
        <v>23.774999999999999</v>
      </c>
      <c r="AE46" s="115">
        <v>20</v>
      </c>
      <c r="AF46" s="115">
        <v>9.2032142857142869</v>
      </c>
      <c r="AG46" s="117">
        <v>1.2999999999999999E-2</v>
      </c>
      <c r="AH46" s="116">
        <v>601</v>
      </c>
    </row>
    <row r="47" spans="1:34" x14ac:dyDescent="0.25">
      <c r="A47" s="97"/>
      <c r="B47" s="97"/>
      <c r="C47" s="89" t="s">
        <v>197</v>
      </c>
      <c r="D47" s="1" t="s">
        <v>36</v>
      </c>
      <c r="E47" s="79">
        <v>9</v>
      </c>
      <c r="F47" s="1" t="s">
        <v>103</v>
      </c>
      <c r="G47" s="6" t="s">
        <v>25</v>
      </c>
      <c r="H47" s="98">
        <v>1</v>
      </c>
      <c r="I47" s="64">
        <v>21.72</v>
      </c>
      <c r="J47" s="64">
        <v>0</v>
      </c>
      <c r="K47" s="65">
        <v>0</v>
      </c>
      <c r="L47" s="65">
        <v>0</v>
      </c>
      <c r="M47" s="92">
        <v>53</v>
      </c>
      <c r="N47" s="94">
        <v>0</v>
      </c>
      <c r="O47" s="94">
        <v>0</v>
      </c>
      <c r="P47" s="94">
        <v>0</v>
      </c>
      <c r="Q47" s="95">
        <v>0</v>
      </c>
      <c r="R47" s="95">
        <v>0</v>
      </c>
      <c r="S47" s="102">
        <v>0</v>
      </c>
      <c r="T47" s="105">
        <v>0</v>
      </c>
      <c r="U47" s="105">
        <v>0</v>
      </c>
      <c r="V47" s="105">
        <v>0</v>
      </c>
      <c r="W47" s="106">
        <v>0</v>
      </c>
      <c r="X47" s="105">
        <v>0</v>
      </c>
      <c r="Y47" s="105">
        <v>0</v>
      </c>
      <c r="Z47" s="108">
        <v>0</v>
      </c>
      <c r="AA47" s="108">
        <v>0</v>
      </c>
      <c r="AB47" s="108">
        <v>0</v>
      </c>
      <c r="AC47" s="91">
        <f t="shared" si="2"/>
        <v>55</v>
      </c>
      <c r="AD47" s="113">
        <f t="shared" si="0"/>
        <v>21.72</v>
      </c>
      <c r="AE47" s="115">
        <v>15</v>
      </c>
      <c r="AF47" s="115">
        <v>9.7856944444444451</v>
      </c>
      <c r="AG47" s="117">
        <v>2.5000000000000001E-2</v>
      </c>
      <c r="AH47" s="116">
        <v>601</v>
      </c>
    </row>
    <row r="48" spans="1:34" x14ac:dyDescent="0.25">
      <c r="A48" s="97"/>
      <c r="B48" s="97"/>
      <c r="C48" s="89" t="s">
        <v>197</v>
      </c>
      <c r="D48" s="1" t="s">
        <v>36</v>
      </c>
      <c r="E48" s="79">
        <v>9</v>
      </c>
      <c r="F48" s="1" t="s">
        <v>103</v>
      </c>
      <c r="G48" s="6" t="s">
        <v>25</v>
      </c>
      <c r="H48" s="98">
        <v>2</v>
      </c>
      <c r="I48" s="64">
        <v>21.95</v>
      </c>
      <c r="J48" s="64">
        <v>0</v>
      </c>
      <c r="K48" s="65">
        <v>0</v>
      </c>
      <c r="L48" s="65">
        <v>0</v>
      </c>
      <c r="M48" s="92">
        <v>53</v>
      </c>
      <c r="N48" s="94">
        <v>0</v>
      </c>
      <c r="O48" s="94">
        <v>0</v>
      </c>
      <c r="P48" s="94">
        <v>0</v>
      </c>
      <c r="Q48" s="95">
        <v>0</v>
      </c>
      <c r="R48" s="95">
        <v>0</v>
      </c>
      <c r="S48" s="102">
        <v>0</v>
      </c>
      <c r="T48" s="105">
        <v>0</v>
      </c>
      <c r="U48" s="105">
        <v>0</v>
      </c>
      <c r="V48" s="105">
        <v>0</v>
      </c>
      <c r="W48" s="106">
        <v>0</v>
      </c>
      <c r="X48" s="105">
        <v>0</v>
      </c>
      <c r="Y48" s="105">
        <v>0</v>
      </c>
      <c r="Z48" s="108">
        <v>0</v>
      </c>
      <c r="AA48" s="108">
        <v>0</v>
      </c>
      <c r="AB48" s="108">
        <v>0</v>
      </c>
      <c r="AC48" s="91">
        <f t="shared" si="2"/>
        <v>55</v>
      </c>
      <c r="AD48" s="113">
        <f t="shared" si="0"/>
        <v>21.95</v>
      </c>
      <c r="AE48" s="115">
        <v>15</v>
      </c>
      <c r="AF48" s="115">
        <v>19.6559375</v>
      </c>
      <c r="AG48" s="117">
        <v>2.5000000000000001E-2</v>
      </c>
      <c r="AH48" s="116">
        <v>601</v>
      </c>
    </row>
    <row r="49" spans="1:34" x14ac:dyDescent="0.25">
      <c r="A49" s="97"/>
      <c r="B49" s="97"/>
      <c r="C49" s="89" t="s">
        <v>197</v>
      </c>
      <c r="D49" s="1" t="s">
        <v>37</v>
      </c>
      <c r="E49" s="79">
        <v>9</v>
      </c>
      <c r="F49" s="1" t="s">
        <v>104</v>
      </c>
      <c r="G49" s="6" t="s">
        <v>25</v>
      </c>
      <c r="H49" s="98">
        <v>1</v>
      </c>
      <c r="I49" s="64">
        <v>18.28</v>
      </c>
      <c r="J49" s="64">
        <v>0</v>
      </c>
      <c r="K49" s="65">
        <v>0</v>
      </c>
      <c r="L49" s="65">
        <v>0</v>
      </c>
      <c r="M49" s="92">
        <v>53</v>
      </c>
      <c r="N49" s="94">
        <v>0</v>
      </c>
      <c r="O49" s="94">
        <v>0</v>
      </c>
      <c r="P49" s="94">
        <v>0</v>
      </c>
      <c r="Q49" s="95">
        <v>0</v>
      </c>
      <c r="R49" s="95">
        <v>0</v>
      </c>
      <c r="S49" s="102">
        <v>0</v>
      </c>
      <c r="T49" s="105">
        <v>0</v>
      </c>
      <c r="U49" s="105">
        <v>0</v>
      </c>
      <c r="V49" s="105">
        <v>0</v>
      </c>
      <c r="W49" s="106">
        <v>0</v>
      </c>
      <c r="X49" s="105">
        <v>0</v>
      </c>
      <c r="Y49" s="105">
        <v>0</v>
      </c>
      <c r="Z49" s="108">
        <v>0</v>
      </c>
      <c r="AA49" s="108">
        <v>0</v>
      </c>
      <c r="AB49" s="108">
        <v>0</v>
      </c>
      <c r="AC49" s="91">
        <f t="shared" si="2"/>
        <v>55</v>
      </c>
      <c r="AD49" s="113">
        <f t="shared" si="0"/>
        <v>18.28</v>
      </c>
      <c r="AE49" s="115">
        <v>15</v>
      </c>
      <c r="AF49" s="115">
        <v>16.510000000000002</v>
      </c>
      <c r="AG49" s="117">
        <v>2.5000000000000001E-2</v>
      </c>
      <c r="AH49" s="116">
        <v>601</v>
      </c>
    </row>
    <row r="50" spans="1:34" x14ac:dyDescent="0.25">
      <c r="A50" s="97"/>
      <c r="B50" s="97"/>
      <c r="C50" s="89" t="s">
        <v>197</v>
      </c>
      <c r="D50" s="1" t="s">
        <v>38</v>
      </c>
      <c r="E50" s="79">
        <v>9</v>
      </c>
      <c r="F50" s="1" t="s">
        <v>105</v>
      </c>
      <c r="G50" s="6" t="s">
        <v>25</v>
      </c>
      <c r="H50" s="98">
        <v>1</v>
      </c>
      <c r="I50" s="64">
        <v>18.125</v>
      </c>
      <c r="J50" s="64">
        <v>0</v>
      </c>
      <c r="K50" s="65">
        <v>0</v>
      </c>
      <c r="L50" s="65">
        <v>0</v>
      </c>
      <c r="M50" s="92">
        <v>53</v>
      </c>
      <c r="N50" s="94">
        <v>0</v>
      </c>
      <c r="O50" s="94">
        <v>0</v>
      </c>
      <c r="P50" s="94">
        <v>0</v>
      </c>
      <c r="Q50" s="95">
        <v>0</v>
      </c>
      <c r="R50" s="95">
        <v>0</v>
      </c>
      <c r="S50" s="102">
        <v>0</v>
      </c>
      <c r="T50" s="105">
        <v>0</v>
      </c>
      <c r="U50" s="105">
        <v>0</v>
      </c>
      <c r="V50" s="105">
        <v>0</v>
      </c>
      <c r="W50" s="106">
        <v>0</v>
      </c>
      <c r="X50" s="105">
        <v>0</v>
      </c>
      <c r="Y50" s="105">
        <v>0</v>
      </c>
      <c r="Z50" s="108">
        <v>0</v>
      </c>
      <c r="AA50" s="108">
        <v>0</v>
      </c>
      <c r="AB50" s="108">
        <v>0</v>
      </c>
      <c r="AC50" s="91">
        <f t="shared" si="2"/>
        <v>55</v>
      </c>
      <c r="AD50" s="113">
        <f t="shared" si="0"/>
        <v>18.125</v>
      </c>
      <c r="AE50" s="115">
        <v>15</v>
      </c>
      <c r="AF50" s="115">
        <v>23.163076923076922</v>
      </c>
      <c r="AG50" s="117">
        <v>2.5000000000000001E-2</v>
      </c>
      <c r="AH50" s="116">
        <v>601</v>
      </c>
    </row>
    <row r="51" spans="1:34" x14ac:dyDescent="0.25">
      <c r="A51" s="97"/>
      <c r="B51" s="97"/>
      <c r="C51" s="89" t="s">
        <v>197</v>
      </c>
      <c r="D51" s="1" t="s">
        <v>39</v>
      </c>
      <c r="E51" s="79">
        <v>9</v>
      </c>
      <c r="F51" s="1" t="s">
        <v>106</v>
      </c>
      <c r="G51" s="6" t="s">
        <v>25</v>
      </c>
      <c r="H51" s="98">
        <v>1</v>
      </c>
      <c r="I51" s="64">
        <v>18.399999999999999</v>
      </c>
      <c r="J51" s="64">
        <v>0</v>
      </c>
      <c r="K51" s="65">
        <v>0</v>
      </c>
      <c r="L51" s="65">
        <v>0</v>
      </c>
      <c r="M51" s="92">
        <v>53</v>
      </c>
      <c r="N51" s="94">
        <v>0</v>
      </c>
      <c r="O51" s="94">
        <v>0</v>
      </c>
      <c r="P51" s="94">
        <v>0</v>
      </c>
      <c r="Q51" s="95">
        <v>0</v>
      </c>
      <c r="R51" s="95">
        <v>0</v>
      </c>
      <c r="S51" s="102">
        <v>0</v>
      </c>
      <c r="T51" s="105">
        <v>0</v>
      </c>
      <c r="U51" s="105">
        <v>0</v>
      </c>
      <c r="V51" s="105">
        <v>0</v>
      </c>
      <c r="W51" s="106">
        <v>0</v>
      </c>
      <c r="X51" s="105">
        <v>0</v>
      </c>
      <c r="Y51" s="105">
        <v>0</v>
      </c>
      <c r="Z51" s="108">
        <v>0</v>
      </c>
      <c r="AA51" s="108">
        <v>0</v>
      </c>
      <c r="AB51" s="108">
        <v>0</v>
      </c>
      <c r="AC51" s="91">
        <f t="shared" si="2"/>
        <v>55</v>
      </c>
      <c r="AD51" s="113">
        <f t="shared" si="0"/>
        <v>18.399999999999999</v>
      </c>
      <c r="AE51" s="115">
        <v>15</v>
      </c>
      <c r="AF51" s="115">
        <v>39.79</v>
      </c>
      <c r="AG51" s="117">
        <v>2.5000000000000001E-2</v>
      </c>
      <c r="AH51" s="116">
        <v>601</v>
      </c>
    </row>
    <row r="52" spans="1:34" x14ac:dyDescent="0.25">
      <c r="A52" s="97"/>
      <c r="B52" s="97"/>
      <c r="C52" s="89" t="s">
        <v>197</v>
      </c>
      <c r="D52" s="1" t="s">
        <v>39</v>
      </c>
      <c r="E52" s="79">
        <v>9</v>
      </c>
      <c r="F52" s="1" t="s">
        <v>106</v>
      </c>
      <c r="G52" s="6" t="s">
        <v>25</v>
      </c>
      <c r="H52" s="98">
        <v>2</v>
      </c>
      <c r="I52" s="64">
        <v>18.7</v>
      </c>
      <c r="J52" s="64">
        <v>0</v>
      </c>
      <c r="K52" s="65">
        <v>0</v>
      </c>
      <c r="L52" s="65">
        <v>0</v>
      </c>
      <c r="M52" s="92">
        <v>53</v>
      </c>
      <c r="N52" s="94">
        <v>0</v>
      </c>
      <c r="O52" s="94">
        <v>0</v>
      </c>
      <c r="P52" s="94">
        <v>0</v>
      </c>
      <c r="Q52" s="95">
        <v>0</v>
      </c>
      <c r="R52" s="95">
        <v>0</v>
      </c>
      <c r="S52" s="102">
        <v>0</v>
      </c>
      <c r="T52" s="105">
        <v>0</v>
      </c>
      <c r="U52" s="105">
        <v>0</v>
      </c>
      <c r="V52" s="105">
        <v>0</v>
      </c>
      <c r="W52" s="106">
        <v>0</v>
      </c>
      <c r="X52" s="105">
        <v>0</v>
      </c>
      <c r="Y52" s="105">
        <v>0</v>
      </c>
      <c r="Z52" s="108">
        <v>0</v>
      </c>
      <c r="AA52" s="108">
        <v>0</v>
      </c>
      <c r="AB52" s="108">
        <v>0</v>
      </c>
      <c r="AC52" s="91">
        <f t="shared" si="2"/>
        <v>55</v>
      </c>
      <c r="AD52" s="113">
        <f t="shared" si="0"/>
        <v>18.7</v>
      </c>
      <c r="AE52" s="115">
        <v>15</v>
      </c>
      <c r="AF52" s="115">
        <v>7.7200000000000006</v>
      </c>
      <c r="AG52" s="117">
        <v>2.5000000000000001E-2</v>
      </c>
      <c r="AH52" s="116">
        <v>601</v>
      </c>
    </row>
    <row r="53" spans="1:34" x14ac:dyDescent="0.25">
      <c r="A53" s="97"/>
      <c r="B53" s="97"/>
      <c r="C53" s="89" t="s">
        <v>197</v>
      </c>
      <c r="D53" s="1" t="s">
        <v>40</v>
      </c>
      <c r="E53" s="79">
        <v>9</v>
      </c>
      <c r="F53" s="1" t="s">
        <v>107</v>
      </c>
      <c r="G53" s="6" t="s">
        <v>25</v>
      </c>
      <c r="H53" s="98">
        <v>1</v>
      </c>
      <c r="I53" s="64">
        <v>63</v>
      </c>
      <c r="J53" s="64">
        <v>0</v>
      </c>
      <c r="K53" s="88">
        <v>16.05</v>
      </c>
      <c r="L53" s="87">
        <v>14.45</v>
      </c>
      <c r="M53" s="92">
        <v>51</v>
      </c>
      <c r="N53" s="94">
        <v>0</v>
      </c>
      <c r="O53" s="94">
        <v>0</v>
      </c>
      <c r="P53" s="94">
        <v>0</v>
      </c>
      <c r="Q53" s="95">
        <v>0</v>
      </c>
      <c r="R53" s="95">
        <v>0</v>
      </c>
      <c r="S53" s="102">
        <v>0</v>
      </c>
      <c r="T53" s="105">
        <v>0</v>
      </c>
      <c r="U53" s="105">
        <v>0</v>
      </c>
      <c r="V53" s="105">
        <v>0</v>
      </c>
      <c r="W53" s="106">
        <v>0</v>
      </c>
      <c r="X53" s="105">
        <v>0</v>
      </c>
      <c r="Y53" s="105">
        <v>0</v>
      </c>
      <c r="Z53" s="108">
        <v>0</v>
      </c>
      <c r="AA53" s="108">
        <v>0</v>
      </c>
      <c r="AB53" s="108">
        <v>0</v>
      </c>
      <c r="AC53" s="91">
        <f t="shared" si="2"/>
        <v>55</v>
      </c>
      <c r="AD53" s="113">
        <f t="shared" si="0"/>
        <v>63</v>
      </c>
      <c r="AE53" s="115">
        <v>40</v>
      </c>
      <c r="AF53" s="115">
        <v>22.33606557377049</v>
      </c>
      <c r="AG53" s="117">
        <v>6.3E-2</v>
      </c>
      <c r="AH53" s="116">
        <v>621</v>
      </c>
    </row>
    <row r="54" spans="1:34" x14ac:dyDescent="0.25">
      <c r="A54" s="97"/>
      <c r="B54" s="97"/>
      <c r="C54" s="89" t="s">
        <v>197</v>
      </c>
      <c r="D54" s="1" t="s">
        <v>40</v>
      </c>
      <c r="E54" s="79">
        <v>9</v>
      </c>
      <c r="F54" s="1" t="s">
        <v>107</v>
      </c>
      <c r="G54" s="6" t="s">
        <v>25</v>
      </c>
      <c r="H54" s="98">
        <v>2</v>
      </c>
      <c r="I54" s="64">
        <v>63</v>
      </c>
      <c r="J54" s="64">
        <v>0</v>
      </c>
      <c r="K54" s="88">
        <v>16.05</v>
      </c>
      <c r="L54" s="87">
        <v>14.45</v>
      </c>
      <c r="M54" s="92">
        <v>51</v>
      </c>
      <c r="N54" s="94">
        <v>0</v>
      </c>
      <c r="O54" s="94">
        <v>0</v>
      </c>
      <c r="P54" s="94">
        <v>0</v>
      </c>
      <c r="Q54" s="95">
        <v>0</v>
      </c>
      <c r="R54" s="95">
        <v>0</v>
      </c>
      <c r="S54" s="102">
        <v>0</v>
      </c>
      <c r="T54" s="105">
        <v>0</v>
      </c>
      <c r="U54" s="105">
        <v>0</v>
      </c>
      <c r="V54" s="105">
        <v>0</v>
      </c>
      <c r="W54" s="106">
        <v>0</v>
      </c>
      <c r="X54" s="105">
        <v>0</v>
      </c>
      <c r="Y54" s="105">
        <v>0</v>
      </c>
      <c r="Z54" s="108">
        <v>0</v>
      </c>
      <c r="AA54" s="108">
        <v>0</v>
      </c>
      <c r="AB54" s="108">
        <v>0</v>
      </c>
      <c r="AC54" s="91">
        <f t="shared" si="2"/>
        <v>55</v>
      </c>
      <c r="AD54" s="113">
        <f t="shared" si="0"/>
        <v>63</v>
      </c>
      <c r="AE54" s="115">
        <v>40</v>
      </c>
      <c r="AF54" s="115">
        <v>11.241785714285713</v>
      </c>
      <c r="AG54" s="117">
        <v>6.3E-2</v>
      </c>
      <c r="AH54" s="116">
        <v>621</v>
      </c>
    </row>
    <row r="55" spans="1:34" x14ac:dyDescent="0.25">
      <c r="A55" s="97"/>
      <c r="B55" s="97"/>
      <c r="C55" s="89" t="s">
        <v>197</v>
      </c>
      <c r="D55" s="1" t="s">
        <v>41</v>
      </c>
      <c r="E55" s="79">
        <v>9</v>
      </c>
      <c r="F55" s="1" t="s">
        <v>108</v>
      </c>
      <c r="G55" s="6" t="s">
        <v>25</v>
      </c>
      <c r="H55" s="98">
        <v>1</v>
      </c>
      <c r="I55" s="64">
        <v>34.25</v>
      </c>
      <c r="J55" s="64">
        <v>0</v>
      </c>
      <c r="K55" s="65">
        <v>0</v>
      </c>
      <c r="L55" s="65">
        <v>0</v>
      </c>
      <c r="M55" s="92">
        <v>42</v>
      </c>
      <c r="N55" s="94">
        <v>0</v>
      </c>
      <c r="O55" s="94">
        <v>0</v>
      </c>
      <c r="P55" s="94">
        <v>0</v>
      </c>
      <c r="Q55" s="95">
        <v>0</v>
      </c>
      <c r="R55" s="95">
        <v>0</v>
      </c>
      <c r="S55" s="102">
        <v>0</v>
      </c>
      <c r="T55" s="105">
        <v>0</v>
      </c>
      <c r="U55" s="105">
        <v>0</v>
      </c>
      <c r="V55" s="105">
        <v>0</v>
      </c>
      <c r="W55" s="106">
        <v>0</v>
      </c>
      <c r="X55" s="105">
        <v>0</v>
      </c>
      <c r="Y55" s="105">
        <v>0</v>
      </c>
      <c r="Z55" s="108">
        <v>0</v>
      </c>
      <c r="AA55" s="108">
        <v>0</v>
      </c>
      <c r="AB55" s="108">
        <v>0</v>
      </c>
      <c r="AC55" s="91">
        <f t="shared" si="2"/>
        <v>55</v>
      </c>
      <c r="AD55" s="113">
        <f t="shared" si="0"/>
        <v>34.25</v>
      </c>
      <c r="AE55" s="115">
        <v>0</v>
      </c>
      <c r="AF55" s="115">
        <v>11.937272727272726</v>
      </c>
      <c r="AG55" s="117">
        <v>4.8000000000000001E-2</v>
      </c>
      <c r="AH55" s="116">
        <v>608</v>
      </c>
    </row>
    <row r="56" spans="1:34" x14ac:dyDescent="0.25">
      <c r="A56" s="97"/>
      <c r="B56" s="97"/>
      <c r="C56" s="89" t="s">
        <v>197</v>
      </c>
      <c r="D56" s="1" t="s">
        <v>41</v>
      </c>
      <c r="E56" s="79">
        <v>9</v>
      </c>
      <c r="F56" s="1" t="s">
        <v>108</v>
      </c>
      <c r="G56" s="6" t="s">
        <v>25</v>
      </c>
      <c r="H56" s="98">
        <v>2</v>
      </c>
      <c r="I56" s="64">
        <v>35.75</v>
      </c>
      <c r="J56" s="64">
        <v>0</v>
      </c>
      <c r="K56" s="65">
        <v>0</v>
      </c>
      <c r="L56" s="65">
        <v>0</v>
      </c>
      <c r="M56" s="92">
        <v>42</v>
      </c>
      <c r="N56" s="94">
        <v>0</v>
      </c>
      <c r="O56" s="94">
        <v>0</v>
      </c>
      <c r="P56" s="94">
        <v>0</v>
      </c>
      <c r="Q56" s="95">
        <v>0</v>
      </c>
      <c r="R56" s="95">
        <v>0</v>
      </c>
      <c r="S56" s="102">
        <v>0</v>
      </c>
      <c r="T56" s="105">
        <v>0</v>
      </c>
      <c r="U56" s="105">
        <v>0</v>
      </c>
      <c r="V56" s="105">
        <v>0</v>
      </c>
      <c r="W56" s="106">
        <v>0</v>
      </c>
      <c r="X56" s="105">
        <v>0</v>
      </c>
      <c r="Y56" s="105">
        <v>0</v>
      </c>
      <c r="Z56" s="108">
        <v>0</v>
      </c>
      <c r="AA56" s="108">
        <v>0</v>
      </c>
      <c r="AB56" s="108">
        <v>0</v>
      </c>
      <c r="AC56" s="91">
        <f t="shared" si="2"/>
        <v>55</v>
      </c>
      <c r="AD56" s="113">
        <f t="shared" si="0"/>
        <v>35.75</v>
      </c>
      <c r="AE56" s="115">
        <v>0</v>
      </c>
      <c r="AF56" s="115">
        <v>15.575113636363636</v>
      </c>
      <c r="AG56" s="117">
        <v>4.8000000000000001E-2</v>
      </c>
      <c r="AH56" s="116">
        <v>608</v>
      </c>
    </row>
    <row r="57" spans="1:34" x14ac:dyDescent="0.25">
      <c r="A57" s="97"/>
      <c r="B57" s="97"/>
      <c r="C57" s="89" t="s">
        <v>197</v>
      </c>
      <c r="D57" s="1" t="s">
        <v>42</v>
      </c>
      <c r="E57" s="79">
        <v>9</v>
      </c>
      <c r="F57" s="1" t="s">
        <v>109</v>
      </c>
      <c r="G57" s="6" t="s">
        <v>25</v>
      </c>
      <c r="H57" s="98">
        <v>1</v>
      </c>
      <c r="I57" s="64">
        <v>29.32</v>
      </c>
      <c r="J57" s="64">
        <v>0</v>
      </c>
      <c r="K57" s="65">
        <v>0</v>
      </c>
      <c r="L57" s="65">
        <v>0</v>
      </c>
      <c r="M57" s="92">
        <v>42</v>
      </c>
      <c r="N57" s="94">
        <v>0</v>
      </c>
      <c r="O57" s="94">
        <v>0</v>
      </c>
      <c r="P57" s="94">
        <v>0</v>
      </c>
      <c r="Q57" s="95">
        <v>0</v>
      </c>
      <c r="R57" s="95">
        <v>0</v>
      </c>
      <c r="S57" s="102">
        <v>0</v>
      </c>
      <c r="T57" s="105">
        <v>0</v>
      </c>
      <c r="U57" s="105">
        <v>0</v>
      </c>
      <c r="V57" s="105">
        <v>0</v>
      </c>
      <c r="W57" s="106">
        <v>0</v>
      </c>
      <c r="X57" s="105">
        <v>0</v>
      </c>
      <c r="Y57" s="105">
        <v>0</v>
      </c>
      <c r="Z57" s="108">
        <v>0</v>
      </c>
      <c r="AA57" s="108">
        <v>0</v>
      </c>
      <c r="AB57" s="108">
        <v>0</v>
      </c>
      <c r="AC57" s="91">
        <f t="shared" si="2"/>
        <v>55</v>
      </c>
      <c r="AD57" s="113">
        <f t="shared" si="0"/>
        <v>29.32</v>
      </c>
      <c r="AE57" s="115">
        <v>0</v>
      </c>
      <c r="AF57" s="115">
        <v>12.106</v>
      </c>
      <c r="AG57" s="117">
        <v>4.8000000000000001E-2</v>
      </c>
      <c r="AH57" s="116">
        <v>604</v>
      </c>
    </row>
    <row r="58" spans="1:34" x14ac:dyDescent="0.25">
      <c r="A58" s="97"/>
      <c r="B58" s="97"/>
      <c r="C58" s="89" t="s">
        <v>197</v>
      </c>
      <c r="D58" s="1" t="s">
        <v>42</v>
      </c>
      <c r="E58" s="79">
        <v>9</v>
      </c>
      <c r="F58" s="1" t="s">
        <v>109</v>
      </c>
      <c r="G58" s="6" t="s">
        <v>25</v>
      </c>
      <c r="H58" s="98">
        <v>2</v>
      </c>
      <c r="I58" s="64">
        <v>31.76</v>
      </c>
      <c r="J58" s="64">
        <v>0</v>
      </c>
      <c r="K58" s="65">
        <v>0</v>
      </c>
      <c r="L58" s="65">
        <v>0</v>
      </c>
      <c r="M58" s="92">
        <v>42</v>
      </c>
      <c r="N58" s="94">
        <v>0</v>
      </c>
      <c r="O58" s="94">
        <v>0</v>
      </c>
      <c r="P58" s="94">
        <v>0</v>
      </c>
      <c r="Q58" s="95">
        <v>0</v>
      </c>
      <c r="R58" s="95">
        <v>0</v>
      </c>
      <c r="S58" s="102">
        <v>0</v>
      </c>
      <c r="T58" s="105">
        <v>0</v>
      </c>
      <c r="U58" s="105">
        <v>0</v>
      </c>
      <c r="V58" s="105">
        <v>0</v>
      </c>
      <c r="W58" s="106">
        <v>0</v>
      </c>
      <c r="X58" s="105">
        <v>0</v>
      </c>
      <c r="Y58" s="105">
        <v>0</v>
      </c>
      <c r="Z58" s="108">
        <v>0</v>
      </c>
      <c r="AA58" s="108">
        <v>0</v>
      </c>
      <c r="AB58" s="108">
        <v>0</v>
      </c>
      <c r="AC58" s="91">
        <f t="shared" si="2"/>
        <v>55</v>
      </c>
      <c r="AD58" s="113">
        <f t="shared" si="0"/>
        <v>31.76</v>
      </c>
      <c r="AE58" s="115">
        <v>0</v>
      </c>
      <c r="AF58" s="115">
        <v>11.448333333333332</v>
      </c>
      <c r="AG58" s="117">
        <v>4.8000000000000001E-2</v>
      </c>
      <c r="AH58" s="116">
        <v>604</v>
      </c>
    </row>
    <row r="59" spans="1:34" x14ac:dyDescent="0.25">
      <c r="A59" s="97"/>
      <c r="B59" s="97"/>
      <c r="C59" s="89" t="s">
        <v>197</v>
      </c>
      <c r="D59" s="1" t="s">
        <v>43</v>
      </c>
      <c r="E59" s="79">
        <v>9</v>
      </c>
      <c r="F59" s="1" t="s">
        <v>110</v>
      </c>
      <c r="G59" s="6" t="s">
        <v>25</v>
      </c>
      <c r="H59" s="98">
        <v>1</v>
      </c>
      <c r="I59" s="64">
        <v>12.37</v>
      </c>
      <c r="J59" s="64">
        <v>15.7</v>
      </c>
      <c r="K59" s="65">
        <v>0</v>
      </c>
      <c r="L59" s="65">
        <v>0</v>
      </c>
      <c r="M59" s="92">
        <v>48</v>
      </c>
      <c r="N59" s="94">
        <v>0</v>
      </c>
      <c r="O59" s="94">
        <v>0</v>
      </c>
      <c r="P59" s="94">
        <v>0</v>
      </c>
      <c r="Q59" s="95">
        <v>0</v>
      </c>
      <c r="R59" s="95">
        <v>0</v>
      </c>
      <c r="S59" s="102">
        <v>0</v>
      </c>
      <c r="T59" s="105">
        <v>0</v>
      </c>
      <c r="U59" s="105">
        <v>0</v>
      </c>
      <c r="V59" s="105">
        <v>0</v>
      </c>
      <c r="W59" s="106">
        <v>0</v>
      </c>
      <c r="X59" s="105">
        <v>0</v>
      </c>
      <c r="Y59" s="105">
        <v>0</v>
      </c>
      <c r="Z59" s="108">
        <v>0</v>
      </c>
      <c r="AA59" s="108">
        <v>0</v>
      </c>
      <c r="AB59" s="108">
        <v>0</v>
      </c>
      <c r="AC59" s="91">
        <f t="shared" si="2"/>
        <v>55</v>
      </c>
      <c r="AD59" s="113">
        <f t="shared" si="0"/>
        <v>28.07</v>
      </c>
      <c r="AE59" s="115">
        <v>0</v>
      </c>
      <c r="AF59" s="115">
        <v>13.044545454545455</v>
      </c>
      <c r="AG59" s="117">
        <v>4.8000000000000001E-2</v>
      </c>
      <c r="AH59" s="116">
        <v>609</v>
      </c>
    </row>
    <row r="60" spans="1:34" x14ac:dyDescent="0.25">
      <c r="A60" s="97"/>
      <c r="B60" s="97"/>
      <c r="C60" s="89" t="s">
        <v>197</v>
      </c>
      <c r="D60" s="1" t="s">
        <v>43</v>
      </c>
      <c r="E60" s="79">
        <v>9</v>
      </c>
      <c r="F60" s="1" t="s">
        <v>110</v>
      </c>
      <c r="G60" s="6" t="s">
        <v>25</v>
      </c>
      <c r="H60" s="98">
        <v>2</v>
      </c>
      <c r="I60" s="64">
        <v>12.07</v>
      </c>
      <c r="J60" s="64">
        <v>15.7</v>
      </c>
      <c r="K60" s="65">
        <v>0</v>
      </c>
      <c r="L60" s="65">
        <v>0</v>
      </c>
      <c r="M60" s="92">
        <v>48</v>
      </c>
      <c r="N60" s="94">
        <v>0</v>
      </c>
      <c r="O60" s="94">
        <v>0</v>
      </c>
      <c r="P60" s="94">
        <v>0</v>
      </c>
      <c r="Q60" s="95">
        <v>0</v>
      </c>
      <c r="R60" s="95">
        <v>0</v>
      </c>
      <c r="S60" s="102">
        <v>0</v>
      </c>
      <c r="T60" s="105">
        <v>0</v>
      </c>
      <c r="U60" s="105">
        <v>0</v>
      </c>
      <c r="V60" s="105">
        <v>0</v>
      </c>
      <c r="W60" s="106">
        <v>0</v>
      </c>
      <c r="X60" s="105">
        <v>0</v>
      </c>
      <c r="Y60" s="105">
        <v>0</v>
      </c>
      <c r="Z60" s="108">
        <v>0</v>
      </c>
      <c r="AA60" s="108">
        <v>0</v>
      </c>
      <c r="AB60" s="108">
        <v>0</v>
      </c>
      <c r="AC60" s="91">
        <f t="shared" si="2"/>
        <v>55</v>
      </c>
      <c r="AD60" s="113">
        <f t="shared" si="0"/>
        <v>27.77</v>
      </c>
      <c r="AE60" s="115">
        <v>0</v>
      </c>
      <c r="AF60" s="115">
        <v>12.09</v>
      </c>
      <c r="AG60" s="117">
        <v>4.8000000000000001E-2</v>
      </c>
      <c r="AH60" s="116">
        <v>609</v>
      </c>
    </row>
    <row r="61" spans="1:34" x14ac:dyDescent="0.25">
      <c r="A61" s="97"/>
      <c r="B61" s="97"/>
      <c r="C61" s="89" t="s">
        <v>197</v>
      </c>
      <c r="D61" s="1" t="s">
        <v>44</v>
      </c>
      <c r="E61" s="79">
        <v>9</v>
      </c>
      <c r="F61" s="1" t="s">
        <v>111</v>
      </c>
      <c r="G61" s="6" t="s">
        <v>25</v>
      </c>
      <c r="H61" s="98">
        <v>1</v>
      </c>
      <c r="I61" s="64">
        <v>11.57</v>
      </c>
      <c r="J61" s="64">
        <v>16.2</v>
      </c>
      <c r="K61" s="65">
        <v>0</v>
      </c>
      <c r="L61" s="65">
        <v>0</v>
      </c>
      <c r="M61" s="92">
        <v>48</v>
      </c>
      <c r="N61" s="94">
        <v>0</v>
      </c>
      <c r="O61" s="94">
        <v>0</v>
      </c>
      <c r="P61" s="94">
        <v>0</v>
      </c>
      <c r="Q61" s="95">
        <v>0</v>
      </c>
      <c r="R61" s="95">
        <v>0</v>
      </c>
      <c r="S61" s="102">
        <v>0</v>
      </c>
      <c r="T61" s="105">
        <v>0</v>
      </c>
      <c r="U61" s="105">
        <v>0</v>
      </c>
      <c r="V61" s="105">
        <v>0</v>
      </c>
      <c r="W61" s="106">
        <v>0</v>
      </c>
      <c r="X61" s="105">
        <v>0</v>
      </c>
      <c r="Y61" s="105">
        <v>0</v>
      </c>
      <c r="Z61" s="108">
        <v>0</v>
      </c>
      <c r="AA61" s="108">
        <v>0</v>
      </c>
      <c r="AB61" s="108">
        <v>0</v>
      </c>
      <c r="AC61" s="91">
        <f t="shared" si="2"/>
        <v>55</v>
      </c>
      <c r="AD61" s="113">
        <f t="shared" si="0"/>
        <v>27.77</v>
      </c>
      <c r="AE61" s="115">
        <v>0</v>
      </c>
      <c r="AF61" s="115">
        <v>10.578749999999999</v>
      </c>
      <c r="AG61" s="117">
        <v>4.8000000000000001E-2</v>
      </c>
      <c r="AH61" s="116">
        <v>609</v>
      </c>
    </row>
    <row r="62" spans="1:34" x14ac:dyDescent="0.25">
      <c r="A62" s="97"/>
      <c r="B62" s="97"/>
      <c r="C62" s="89" t="s">
        <v>197</v>
      </c>
      <c r="D62" s="1" t="s">
        <v>44</v>
      </c>
      <c r="E62" s="79">
        <v>9</v>
      </c>
      <c r="F62" s="1" t="s">
        <v>111</v>
      </c>
      <c r="G62" s="6" t="s">
        <v>25</v>
      </c>
      <c r="H62" s="98">
        <v>2</v>
      </c>
      <c r="I62" s="64">
        <v>11.27</v>
      </c>
      <c r="J62" s="64">
        <v>16.2</v>
      </c>
      <c r="K62" s="65">
        <v>0</v>
      </c>
      <c r="L62" s="65">
        <v>0</v>
      </c>
      <c r="M62" s="92">
        <v>48</v>
      </c>
      <c r="N62" s="94">
        <v>0</v>
      </c>
      <c r="O62" s="94">
        <v>0</v>
      </c>
      <c r="P62" s="94">
        <v>0</v>
      </c>
      <c r="Q62" s="95">
        <v>0</v>
      </c>
      <c r="R62" s="95">
        <v>0</v>
      </c>
      <c r="S62" s="102">
        <v>0</v>
      </c>
      <c r="T62" s="105">
        <v>0</v>
      </c>
      <c r="U62" s="105">
        <v>0</v>
      </c>
      <c r="V62" s="105">
        <v>0</v>
      </c>
      <c r="W62" s="106">
        <v>0</v>
      </c>
      <c r="X62" s="105">
        <v>0</v>
      </c>
      <c r="Y62" s="105">
        <v>0</v>
      </c>
      <c r="Z62" s="108">
        <v>0</v>
      </c>
      <c r="AA62" s="108">
        <v>0</v>
      </c>
      <c r="AB62" s="108">
        <v>0</v>
      </c>
      <c r="AC62" s="91">
        <f t="shared" si="2"/>
        <v>55</v>
      </c>
      <c r="AD62" s="113">
        <f t="shared" si="0"/>
        <v>27.47</v>
      </c>
      <c r="AE62" s="115">
        <v>0</v>
      </c>
      <c r="AF62" s="115">
        <v>15.60222222222222</v>
      </c>
      <c r="AG62" s="117">
        <v>4.8000000000000001E-2</v>
      </c>
      <c r="AH62" s="116">
        <v>609</v>
      </c>
    </row>
    <row r="63" spans="1:34" x14ac:dyDescent="0.25">
      <c r="A63" s="97"/>
      <c r="B63" s="97"/>
      <c r="C63" s="89" t="s">
        <v>197</v>
      </c>
      <c r="D63" s="1" t="s">
        <v>45</v>
      </c>
      <c r="E63" s="79">
        <v>9</v>
      </c>
      <c r="F63" s="1" t="s">
        <v>112</v>
      </c>
      <c r="G63" s="6" t="s">
        <v>1</v>
      </c>
      <c r="H63" s="98">
        <v>1</v>
      </c>
      <c r="I63" s="64">
        <v>26.914999999999999</v>
      </c>
      <c r="J63" s="64">
        <v>0</v>
      </c>
      <c r="K63" s="65">
        <v>0</v>
      </c>
      <c r="L63" s="65">
        <v>0</v>
      </c>
      <c r="M63" s="92">
        <v>51</v>
      </c>
      <c r="N63" s="94">
        <v>0</v>
      </c>
      <c r="O63" s="94">
        <v>0</v>
      </c>
      <c r="P63" s="94">
        <v>0</v>
      </c>
      <c r="Q63" s="95">
        <v>0</v>
      </c>
      <c r="R63" s="95">
        <v>0</v>
      </c>
      <c r="S63" s="102">
        <v>0</v>
      </c>
      <c r="T63" s="105">
        <v>0</v>
      </c>
      <c r="U63" s="105">
        <v>0</v>
      </c>
      <c r="V63" s="105">
        <v>0</v>
      </c>
      <c r="W63" s="106">
        <v>0</v>
      </c>
      <c r="X63" s="105">
        <v>0</v>
      </c>
      <c r="Y63" s="105">
        <v>0</v>
      </c>
      <c r="Z63" s="108">
        <v>0</v>
      </c>
      <c r="AA63" s="108">
        <v>0</v>
      </c>
      <c r="AB63" s="108">
        <v>0</v>
      </c>
      <c r="AC63" s="91">
        <v>19</v>
      </c>
      <c r="AD63" s="113">
        <f t="shared" si="0"/>
        <v>26.914999999999999</v>
      </c>
      <c r="AE63" s="115">
        <v>26</v>
      </c>
      <c r="AF63" s="115">
        <v>15.959848484848484</v>
      </c>
      <c r="AG63" s="116">
        <v>0</v>
      </c>
      <c r="AH63" s="116">
        <v>614</v>
      </c>
    </row>
    <row r="64" spans="1:34" x14ac:dyDescent="0.25">
      <c r="A64" s="97"/>
      <c r="B64" s="97"/>
      <c r="C64" s="89" t="s">
        <v>197</v>
      </c>
      <c r="D64" s="1" t="s">
        <v>45</v>
      </c>
      <c r="E64" s="79">
        <v>9</v>
      </c>
      <c r="F64" s="1" t="s">
        <v>112</v>
      </c>
      <c r="G64" s="6" t="s">
        <v>1</v>
      </c>
      <c r="H64" s="98">
        <v>2</v>
      </c>
      <c r="I64" s="64">
        <v>27.14</v>
      </c>
      <c r="J64" s="64">
        <v>0</v>
      </c>
      <c r="K64" s="65">
        <v>0</v>
      </c>
      <c r="L64" s="65">
        <v>0</v>
      </c>
      <c r="M64" s="92">
        <v>51</v>
      </c>
      <c r="N64" s="94">
        <v>0</v>
      </c>
      <c r="O64" s="94">
        <v>0</v>
      </c>
      <c r="P64" s="94">
        <v>0</v>
      </c>
      <c r="Q64" s="95">
        <v>0</v>
      </c>
      <c r="R64" s="95">
        <v>0</v>
      </c>
      <c r="S64" s="102">
        <v>0</v>
      </c>
      <c r="T64" s="105">
        <v>0</v>
      </c>
      <c r="U64" s="105">
        <v>0</v>
      </c>
      <c r="V64" s="105">
        <v>0</v>
      </c>
      <c r="W64" s="106">
        <v>0</v>
      </c>
      <c r="X64" s="105">
        <v>0</v>
      </c>
      <c r="Y64" s="105">
        <v>0</v>
      </c>
      <c r="Z64" s="108">
        <v>0</v>
      </c>
      <c r="AA64" s="108">
        <v>0</v>
      </c>
      <c r="AB64" s="108">
        <v>0</v>
      </c>
      <c r="AC64" s="91">
        <f>AC63</f>
        <v>19</v>
      </c>
      <c r="AD64" s="113">
        <f t="shared" si="0"/>
        <v>27.14</v>
      </c>
      <c r="AE64" s="115">
        <v>26</v>
      </c>
      <c r="AF64" s="115">
        <v>15.647536231884059</v>
      </c>
      <c r="AG64" s="116">
        <v>0</v>
      </c>
      <c r="AH64" s="116">
        <v>614</v>
      </c>
    </row>
    <row r="65" spans="1:34" x14ac:dyDescent="0.25">
      <c r="A65" s="97"/>
      <c r="B65" s="97"/>
      <c r="C65" s="89" t="s">
        <v>197</v>
      </c>
      <c r="D65" s="1" t="s">
        <v>46</v>
      </c>
      <c r="E65" s="79">
        <v>9</v>
      </c>
      <c r="F65" s="1" t="s">
        <v>113</v>
      </c>
      <c r="G65" s="6" t="s">
        <v>1</v>
      </c>
      <c r="H65" s="98">
        <v>1</v>
      </c>
      <c r="I65" s="64">
        <v>30.77</v>
      </c>
      <c r="J65" s="64">
        <v>0</v>
      </c>
      <c r="K65" s="65">
        <v>0</v>
      </c>
      <c r="L65" s="65">
        <v>0</v>
      </c>
      <c r="M65" s="92">
        <v>50</v>
      </c>
      <c r="N65" s="94">
        <v>0</v>
      </c>
      <c r="O65" s="94">
        <v>0</v>
      </c>
      <c r="P65" s="94">
        <v>0</v>
      </c>
      <c r="Q65" s="95">
        <v>0</v>
      </c>
      <c r="R65" s="95">
        <v>0</v>
      </c>
      <c r="S65" s="102">
        <v>0</v>
      </c>
      <c r="T65" s="105">
        <v>0</v>
      </c>
      <c r="U65" s="105">
        <v>0</v>
      </c>
      <c r="V65" s="105">
        <v>0</v>
      </c>
      <c r="W65" s="106">
        <v>0</v>
      </c>
      <c r="X65" s="105">
        <v>0</v>
      </c>
      <c r="Y65" s="105">
        <v>0</v>
      </c>
      <c r="Z65" s="108">
        <v>0</v>
      </c>
      <c r="AA65" s="108">
        <v>0</v>
      </c>
      <c r="AB65" s="108">
        <v>0</v>
      </c>
      <c r="AC65" s="91">
        <f t="shared" ref="AC65:AC84" si="3">AC64</f>
        <v>19</v>
      </c>
      <c r="AD65" s="113">
        <f t="shared" si="0"/>
        <v>30.77</v>
      </c>
      <c r="AE65" s="115">
        <v>30</v>
      </c>
      <c r="AF65" s="115">
        <v>16.432608695652174</v>
      </c>
      <c r="AG65" s="116">
        <v>0</v>
      </c>
      <c r="AH65" s="116">
        <v>605</v>
      </c>
    </row>
    <row r="66" spans="1:34" x14ac:dyDescent="0.25">
      <c r="A66" s="97"/>
      <c r="B66" s="97"/>
      <c r="C66" s="89" t="s">
        <v>197</v>
      </c>
      <c r="D66" s="1" t="s">
        <v>46</v>
      </c>
      <c r="E66" s="79">
        <v>9</v>
      </c>
      <c r="F66" s="1" t="s">
        <v>113</v>
      </c>
      <c r="G66" s="6" t="s">
        <v>1</v>
      </c>
      <c r="H66" s="98">
        <v>2</v>
      </c>
      <c r="I66" s="64">
        <v>31.215</v>
      </c>
      <c r="J66" s="64">
        <v>0</v>
      </c>
      <c r="K66" s="65">
        <v>0</v>
      </c>
      <c r="L66" s="65">
        <v>0</v>
      </c>
      <c r="M66" s="92">
        <v>50</v>
      </c>
      <c r="N66" s="94">
        <v>0</v>
      </c>
      <c r="O66" s="94">
        <v>0</v>
      </c>
      <c r="P66" s="94">
        <v>0</v>
      </c>
      <c r="Q66" s="95">
        <v>0</v>
      </c>
      <c r="R66" s="95">
        <v>0</v>
      </c>
      <c r="S66" s="102">
        <v>0</v>
      </c>
      <c r="T66" s="105">
        <v>0</v>
      </c>
      <c r="U66" s="105">
        <v>0</v>
      </c>
      <c r="V66" s="105">
        <v>0</v>
      </c>
      <c r="W66" s="106">
        <v>0</v>
      </c>
      <c r="X66" s="105">
        <v>0</v>
      </c>
      <c r="Y66" s="105">
        <v>0</v>
      </c>
      <c r="Z66" s="108">
        <v>0</v>
      </c>
      <c r="AA66" s="108">
        <v>0</v>
      </c>
      <c r="AB66" s="108">
        <v>0</v>
      </c>
      <c r="AC66" s="91">
        <f t="shared" si="3"/>
        <v>19</v>
      </c>
      <c r="AD66" s="113">
        <f t="shared" si="0"/>
        <v>31.215</v>
      </c>
      <c r="AE66" s="115">
        <v>30</v>
      </c>
      <c r="AF66" s="115">
        <v>16.592173913043478</v>
      </c>
      <c r="AG66" s="116">
        <v>0</v>
      </c>
      <c r="AH66" s="116">
        <v>605</v>
      </c>
    </row>
    <row r="67" spans="1:34" x14ac:dyDescent="0.25">
      <c r="A67" s="97"/>
      <c r="B67" s="97"/>
      <c r="C67" s="89" t="s">
        <v>197</v>
      </c>
      <c r="D67" s="1" t="s">
        <v>47</v>
      </c>
      <c r="E67" s="79">
        <v>9</v>
      </c>
      <c r="F67" s="1" t="s">
        <v>114</v>
      </c>
      <c r="G67" s="6" t="s">
        <v>1</v>
      </c>
      <c r="H67" s="98">
        <v>1</v>
      </c>
      <c r="I67" s="64">
        <v>28.33</v>
      </c>
      <c r="J67" s="64">
        <v>0</v>
      </c>
      <c r="K67" s="65">
        <v>0</v>
      </c>
      <c r="L67" s="65">
        <v>0</v>
      </c>
      <c r="M67" s="92">
        <v>53</v>
      </c>
      <c r="N67" s="94">
        <v>0</v>
      </c>
      <c r="O67" s="94">
        <v>0</v>
      </c>
      <c r="P67" s="94">
        <v>0</v>
      </c>
      <c r="Q67" s="95">
        <v>0</v>
      </c>
      <c r="R67" s="95">
        <v>0</v>
      </c>
      <c r="S67" s="102">
        <v>0</v>
      </c>
      <c r="T67" s="105">
        <v>0</v>
      </c>
      <c r="U67" s="105">
        <v>0</v>
      </c>
      <c r="V67" s="105">
        <v>0</v>
      </c>
      <c r="W67" s="106">
        <v>0</v>
      </c>
      <c r="X67" s="105">
        <v>0</v>
      </c>
      <c r="Y67" s="105">
        <v>0</v>
      </c>
      <c r="Z67" s="108">
        <v>0</v>
      </c>
      <c r="AA67" s="108">
        <v>0</v>
      </c>
      <c r="AB67" s="108">
        <v>0</v>
      </c>
      <c r="AC67" s="91">
        <f t="shared" si="3"/>
        <v>19</v>
      </c>
      <c r="AD67" s="113">
        <f t="shared" ref="AD67:AD86" si="4">I67+J67</f>
        <v>28.33</v>
      </c>
      <c r="AE67" s="115">
        <v>29</v>
      </c>
      <c r="AF67" s="115">
        <v>13.1724</v>
      </c>
      <c r="AG67" s="116">
        <v>0</v>
      </c>
      <c r="AH67" s="116">
        <v>624</v>
      </c>
    </row>
    <row r="68" spans="1:34" x14ac:dyDescent="0.25">
      <c r="A68" s="97"/>
      <c r="B68" s="97"/>
      <c r="C68" s="89" t="s">
        <v>197</v>
      </c>
      <c r="D68" s="1" t="s">
        <v>47</v>
      </c>
      <c r="E68" s="79">
        <v>9</v>
      </c>
      <c r="F68" s="1" t="s">
        <v>114</v>
      </c>
      <c r="G68" s="6" t="s">
        <v>1</v>
      </c>
      <c r="H68" s="98">
        <v>2</v>
      </c>
      <c r="I68" s="64">
        <v>29.504999999999999</v>
      </c>
      <c r="J68" s="64">
        <v>0</v>
      </c>
      <c r="K68" s="65">
        <v>0</v>
      </c>
      <c r="L68" s="65">
        <v>0</v>
      </c>
      <c r="M68" s="92">
        <v>53</v>
      </c>
      <c r="N68" s="94">
        <v>0</v>
      </c>
      <c r="O68" s="94">
        <v>0</v>
      </c>
      <c r="P68" s="94">
        <v>0</v>
      </c>
      <c r="Q68" s="95">
        <v>0</v>
      </c>
      <c r="R68" s="95">
        <v>0</v>
      </c>
      <c r="S68" s="102">
        <v>0</v>
      </c>
      <c r="T68" s="105">
        <v>0</v>
      </c>
      <c r="U68" s="105">
        <v>0</v>
      </c>
      <c r="V68" s="105">
        <v>0</v>
      </c>
      <c r="W68" s="106">
        <v>0</v>
      </c>
      <c r="X68" s="105">
        <v>0</v>
      </c>
      <c r="Y68" s="105">
        <v>0</v>
      </c>
      <c r="Z68" s="108">
        <v>0</v>
      </c>
      <c r="AA68" s="108">
        <v>0</v>
      </c>
      <c r="AB68" s="108">
        <v>0</v>
      </c>
      <c r="AC68" s="91">
        <f t="shared" si="3"/>
        <v>19</v>
      </c>
      <c r="AD68" s="113">
        <f t="shared" si="4"/>
        <v>29.504999999999999</v>
      </c>
      <c r="AE68" s="115">
        <v>29</v>
      </c>
      <c r="AF68" s="115">
        <v>13.958541666666667</v>
      </c>
      <c r="AG68" s="116">
        <v>0</v>
      </c>
      <c r="AH68" s="116">
        <v>624</v>
      </c>
    </row>
    <row r="69" spans="1:34" x14ac:dyDescent="0.25">
      <c r="A69" s="97"/>
      <c r="B69" s="97"/>
      <c r="C69" s="89" t="s">
        <v>197</v>
      </c>
      <c r="D69" s="1" t="s">
        <v>48</v>
      </c>
      <c r="E69" s="79">
        <v>9</v>
      </c>
      <c r="F69" s="1" t="s">
        <v>115</v>
      </c>
      <c r="G69" s="6" t="s">
        <v>1</v>
      </c>
      <c r="H69" s="98">
        <v>1</v>
      </c>
      <c r="I69" s="64">
        <v>42.04</v>
      </c>
      <c r="J69" s="64">
        <v>0</v>
      </c>
      <c r="K69" s="65">
        <v>0</v>
      </c>
      <c r="L69" s="65">
        <v>0</v>
      </c>
      <c r="M69" s="92">
        <v>51</v>
      </c>
      <c r="N69" s="94">
        <v>0</v>
      </c>
      <c r="O69" s="94">
        <v>0</v>
      </c>
      <c r="P69" s="94">
        <v>0</v>
      </c>
      <c r="Q69" s="95">
        <v>0</v>
      </c>
      <c r="R69" s="95">
        <v>0</v>
      </c>
      <c r="S69" s="102">
        <v>0</v>
      </c>
      <c r="T69" s="105">
        <v>0</v>
      </c>
      <c r="U69" s="105">
        <v>0</v>
      </c>
      <c r="V69" s="105">
        <v>0</v>
      </c>
      <c r="W69" s="106">
        <v>0</v>
      </c>
      <c r="X69" s="105">
        <v>0</v>
      </c>
      <c r="Y69" s="105">
        <v>0</v>
      </c>
      <c r="Z69" s="108">
        <v>0</v>
      </c>
      <c r="AA69" s="108">
        <v>0</v>
      </c>
      <c r="AB69" s="108">
        <v>0</v>
      </c>
      <c r="AC69" s="91">
        <f t="shared" si="3"/>
        <v>19</v>
      </c>
      <c r="AD69" s="113">
        <f t="shared" si="4"/>
        <v>42.04</v>
      </c>
      <c r="AE69" s="115">
        <v>32</v>
      </c>
      <c r="AF69" s="115">
        <v>32.295873015873021</v>
      </c>
      <c r="AG69" s="116">
        <v>0</v>
      </c>
      <c r="AH69" s="116">
        <v>605</v>
      </c>
    </row>
    <row r="70" spans="1:34" x14ac:dyDescent="0.25">
      <c r="A70" s="97"/>
      <c r="B70" s="97"/>
      <c r="C70" s="89" t="s">
        <v>197</v>
      </c>
      <c r="D70" s="1" t="s">
        <v>48</v>
      </c>
      <c r="E70" s="79">
        <v>9</v>
      </c>
      <c r="F70" s="1" t="s">
        <v>115</v>
      </c>
      <c r="G70" s="6" t="s">
        <v>1</v>
      </c>
      <c r="H70" s="98">
        <v>2</v>
      </c>
      <c r="I70" s="64">
        <v>42.61</v>
      </c>
      <c r="J70" s="64">
        <v>0</v>
      </c>
      <c r="K70" s="65">
        <v>0</v>
      </c>
      <c r="L70" s="65">
        <v>0</v>
      </c>
      <c r="M70" s="92">
        <v>51</v>
      </c>
      <c r="N70" s="94">
        <v>0</v>
      </c>
      <c r="O70" s="94">
        <v>0</v>
      </c>
      <c r="P70" s="94">
        <v>0</v>
      </c>
      <c r="Q70" s="95">
        <v>0</v>
      </c>
      <c r="R70" s="95">
        <v>0</v>
      </c>
      <c r="S70" s="102">
        <v>0</v>
      </c>
      <c r="T70" s="105">
        <v>0</v>
      </c>
      <c r="U70" s="105">
        <v>0</v>
      </c>
      <c r="V70" s="105">
        <v>0</v>
      </c>
      <c r="W70" s="106">
        <v>0</v>
      </c>
      <c r="X70" s="105">
        <v>0</v>
      </c>
      <c r="Y70" s="105">
        <v>0</v>
      </c>
      <c r="Z70" s="108">
        <v>0</v>
      </c>
      <c r="AA70" s="108">
        <v>0</v>
      </c>
      <c r="AB70" s="108">
        <v>0</v>
      </c>
      <c r="AC70" s="91">
        <f t="shared" si="3"/>
        <v>19</v>
      </c>
      <c r="AD70" s="113">
        <f t="shared" si="4"/>
        <v>42.61</v>
      </c>
      <c r="AE70" s="115">
        <v>32</v>
      </c>
      <c r="AF70" s="115">
        <v>34.331372549019612</v>
      </c>
      <c r="AG70" s="116">
        <v>0</v>
      </c>
      <c r="AH70" s="116">
        <v>605</v>
      </c>
    </row>
    <row r="71" spans="1:34" x14ac:dyDescent="0.25">
      <c r="A71" s="97"/>
      <c r="B71" s="97"/>
      <c r="C71" s="89" t="s">
        <v>197</v>
      </c>
      <c r="D71" s="1" t="s">
        <v>49</v>
      </c>
      <c r="E71" s="79">
        <v>9</v>
      </c>
      <c r="F71" s="1" t="s">
        <v>116</v>
      </c>
      <c r="G71" s="6" t="s">
        <v>1</v>
      </c>
      <c r="H71" s="98">
        <v>1</v>
      </c>
      <c r="I71" s="64">
        <v>37.619999999999997</v>
      </c>
      <c r="J71" s="64">
        <v>0</v>
      </c>
      <c r="K71" s="65">
        <v>0</v>
      </c>
      <c r="L71" s="65">
        <v>0</v>
      </c>
      <c r="M71" s="92">
        <v>51</v>
      </c>
      <c r="N71" s="94">
        <v>0</v>
      </c>
      <c r="O71" s="94">
        <v>0</v>
      </c>
      <c r="P71" s="94">
        <v>0</v>
      </c>
      <c r="Q71" s="95">
        <v>0</v>
      </c>
      <c r="R71" s="95">
        <v>0</v>
      </c>
      <c r="S71" s="102">
        <v>0</v>
      </c>
      <c r="T71" s="105">
        <v>0</v>
      </c>
      <c r="U71" s="105">
        <v>0</v>
      </c>
      <c r="V71" s="105">
        <v>0</v>
      </c>
      <c r="W71" s="106">
        <v>0</v>
      </c>
      <c r="X71" s="105">
        <v>0</v>
      </c>
      <c r="Y71" s="105">
        <v>0</v>
      </c>
      <c r="Z71" s="108">
        <v>0</v>
      </c>
      <c r="AA71" s="108">
        <v>0</v>
      </c>
      <c r="AB71" s="108">
        <v>0</v>
      </c>
      <c r="AC71" s="91">
        <f t="shared" si="3"/>
        <v>19</v>
      </c>
      <c r="AD71" s="113">
        <f t="shared" si="4"/>
        <v>37.619999999999997</v>
      </c>
      <c r="AE71" s="115">
        <v>32</v>
      </c>
      <c r="AF71" s="115">
        <v>15.532</v>
      </c>
      <c r="AG71" s="116">
        <v>0</v>
      </c>
      <c r="AH71" s="116">
        <v>605</v>
      </c>
    </row>
    <row r="72" spans="1:34" x14ac:dyDescent="0.25">
      <c r="A72" s="97"/>
      <c r="B72" s="97"/>
      <c r="C72" s="89" t="s">
        <v>197</v>
      </c>
      <c r="D72" s="1" t="s">
        <v>49</v>
      </c>
      <c r="E72" s="79">
        <v>9</v>
      </c>
      <c r="F72" s="1" t="s">
        <v>116</v>
      </c>
      <c r="G72" s="6" t="s">
        <v>1</v>
      </c>
      <c r="H72" s="98">
        <v>2</v>
      </c>
      <c r="I72" s="64">
        <v>37.97</v>
      </c>
      <c r="J72" s="64">
        <v>0</v>
      </c>
      <c r="K72" s="65">
        <v>0</v>
      </c>
      <c r="L72" s="65">
        <v>0</v>
      </c>
      <c r="M72" s="92">
        <v>51</v>
      </c>
      <c r="N72" s="94">
        <v>0</v>
      </c>
      <c r="O72" s="94">
        <v>0</v>
      </c>
      <c r="P72" s="94">
        <v>0</v>
      </c>
      <c r="Q72" s="95">
        <v>0</v>
      </c>
      <c r="R72" s="95">
        <v>0</v>
      </c>
      <c r="S72" s="102">
        <v>0</v>
      </c>
      <c r="T72" s="105">
        <v>0</v>
      </c>
      <c r="U72" s="105">
        <v>0</v>
      </c>
      <c r="V72" s="105">
        <v>0</v>
      </c>
      <c r="W72" s="106">
        <v>0</v>
      </c>
      <c r="X72" s="105">
        <v>0</v>
      </c>
      <c r="Y72" s="105">
        <v>0</v>
      </c>
      <c r="Z72" s="108">
        <v>0</v>
      </c>
      <c r="AA72" s="108">
        <v>0</v>
      </c>
      <c r="AB72" s="108">
        <v>0</v>
      </c>
      <c r="AC72" s="91">
        <f t="shared" si="3"/>
        <v>19</v>
      </c>
      <c r="AD72" s="113">
        <f t="shared" si="4"/>
        <v>37.97</v>
      </c>
      <c r="AE72" s="115">
        <v>32</v>
      </c>
      <c r="AF72" s="115">
        <v>13.063333333333333</v>
      </c>
      <c r="AG72" s="116">
        <v>0</v>
      </c>
      <c r="AH72" s="116">
        <v>605</v>
      </c>
    </row>
    <row r="73" spans="1:34" x14ac:dyDescent="0.25">
      <c r="A73" s="97"/>
      <c r="B73" s="97"/>
      <c r="C73" s="89" t="s">
        <v>197</v>
      </c>
      <c r="D73" s="1" t="s">
        <v>50</v>
      </c>
      <c r="E73" s="79">
        <v>9</v>
      </c>
      <c r="F73" s="1" t="s">
        <v>117</v>
      </c>
      <c r="G73" s="6" t="s">
        <v>1</v>
      </c>
      <c r="H73" s="98">
        <v>1</v>
      </c>
      <c r="I73" s="64">
        <v>45.63</v>
      </c>
      <c r="J73" s="64">
        <v>0</v>
      </c>
      <c r="K73" s="65">
        <v>0</v>
      </c>
      <c r="L73" s="65">
        <v>0</v>
      </c>
      <c r="M73" s="92">
        <v>51</v>
      </c>
      <c r="N73" s="94">
        <v>0</v>
      </c>
      <c r="O73" s="94">
        <v>0</v>
      </c>
      <c r="P73" s="94">
        <v>0</v>
      </c>
      <c r="Q73" s="95">
        <v>0</v>
      </c>
      <c r="R73" s="95">
        <v>0</v>
      </c>
      <c r="S73" s="102">
        <v>0</v>
      </c>
      <c r="T73" s="105">
        <v>0</v>
      </c>
      <c r="U73" s="105">
        <v>0</v>
      </c>
      <c r="V73" s="105">
        <v>0</v>
      </c>
      <c r="W73" s="106">
        <v>0</v>
      </c>
      <c r="X73" s="105">
        <v>0</v>
      </c>
      <c r="Y73" s="105">
        <v>0</v>
      </c>
      <c r="Z73" s="108">
        <v>0</v>
      </c>
      <c r="AA73" s="108">
        <v>0</v>
      </c>
      <c r="AB73" s="108">
        <v>0</v>
      </c>
      <c r="AC73" s="91">
        <f t="shared" si="3"/>
        <v>19</v>
      </c>
      <c r="AD73" s="113">
        <f t="shared" si="4"/>
        <v>45.63</v>
      </c>
      <c r="AE73" s="115">
        <v>32</v>
      </c>
      <c r="AF73" s="115">
        <v>28.330526315789474</v>
      </c>
      <c r="AG73" s="116">
        <v>0</v>
      </c>
      <c r="AH73" s="116">
        <v>605</v>
      </c>
    </row>
    <row r="74" spans="1:34" x14ac:dyDescent="0.25">
      <c r="A74" s="97"/>
      <c r="B74" s="97"/>
      <c r="C74" s="89" t="s">
        <v>197</v>
      </c>
      <c r="D74" s="1" t="s">
        <v>50</v>
      </c>
      <c r="E74" s="79">
        <v>9</v>
      </c>
      <c r="F74" s="1" t="s">
        <v>117</v>
      </c>
      <c r="G74" s="6" t="s">
        <v>1</v>
      </c>
      <c r="H74" s="98">
        <v>2</v>
      </c>
      <c r="I74" s="64">
        <v>47.91</v>
      </c>
      <c r="J74" s="64">
        <v>0</v>
      </c>
      <c r="K74" s="65">
        <v>0</v>
      </c>
      <c r="L74" s="65">
        <v>0</v>
      </c>
      <c r="M74" s="92">
        <v>51</v>
      </c>
      <c r="N74" s="94">
        <v>0</v>
      </c>
      <c r="O74" s="94">
        <v>0</v>
      </c>
      <c r="P74" s="94">
        <v>0</v>
      </c>
      <c r="Q74" s="95">
        <v>0</v>
      </c>
      <c r="R74" s="95">
        <v>0</v>
      </c>
      <c r="S74" s="102">
        <v>0</v>
      </c>
      <c r="T74" s="105">
        <v>0</v>
      </c>
      <c r="U74" s="105">
        <v>0</v>
      </c>
      <c r="V74" s="105">
        <v>0</v>
      </c>
      <c r="W74" s="106">
        <v>0</v>
      </c>
      <c r="X74" s="105">
        <v>0</v>
      </c>
      <c r="Y74" s="105">
        <v>0</v>
      </c>
      <c r="Z74" s="108">
        <v>0</v>
      </c>
      <c r="AA74" s="108">
        <v>0</v>
      </c>
      <c r="AB74" s="108">
        <v>0</v>
      </c>
      <c r="AC74" s="91">
        <f t="shared" si="3"/>
        <v>19</v>
      </c>
      <c r="AD74" s="113">
        <f t="shared" si="4"/>
        <v>47.91</v>
      </c>
      <c r="AE74" s="115">
        <v>32</v>
      </c>
      <c r="AF74" s="115">
        <v>22.899310344827587</v>
      </c>
      <c r="AG74" s="116">
        <v>0</v>
      </c>
      <c r="AH74" s="116">
        <v>605</v>
      </c>
    </row>
    <row r="75" spans="1:34" x14ac:dyDescent="0.25">
      <c r="A75" s="97"/>
      <c r="B75" s="97"/>
      <c r="C75" s="89" t="s">
        <v>197</v>
      </c>
      <c r="D75" s="1" t="s">
        <v>51</v>
      </c>
      <c r="E75" s="79">
        <v>9</v>
      </c>
      <c r="F75" s="1" t="s">
        <v>118</v>
      </c>
      <c r="G75" s="6" t="s">
        <v>1</v>
      </c>
      <c r="H75" s="98">
        <v>1</v>
      </c>
      <c r="I75" s="64">
        <v>47.41</v>
      </c>
      <c r="J75" s="64">
        <v>0</v>
      </c>
      <c r="K75" s="65">
        <v>0</v>
      </c>
      <c r="L75" s="65">
        <v>0</v>
      </c>
      <c r="M75" s="92">
        <v>55</v>
      </c>
      <c r="N75" s="94">
        <v>0</v>
      </c>
      <c r="O75" s="94">
        <v>0</v>
      </c>
      <c r="P75" s="94">
        <v>0</v>
      </c>
      <c r="Q75" s="95">
        <v>0</v>
      </c>
      <c r="R75" s="95">
        <v>0</v>
      </c>
      <c r="S75" s="102">
        <v>0</v>
      </c>
      <c r="T75" s="105">
        <v>0</v>
      </c>
      <c r="U75" s="105">
        <v>0</v>
      </c>
      <c r="V75" s="105">
        <v>0</v>
      </c>
      <c r="W75" s="106">
        <v>0</v>
      </c>
      <c r="X75" s="105">
        <v>0</v>
      </c>
      <c r="Y75" s="105">
        <v>0</v>
      </c>
      <c r="Z75" s="108">
        <v>0</v>
      </c>
      <c r="AA75" s="108">
        <v>0</v>
      </c>
      <c r="AB75" s="108">
        <v>0</v>
      </c>
      <c r="AC75" s="91">
        <f t="shared" si="3"/>
        <v>19</v>
      </c>
      <c r="AD75" s="113">
        <f t="shared" si="4"/>
        <v>47.41</v>
      </c>
      <c r="AE75" s="115">
        <v>32</v>
      </c>
      <c r="AF75" s="115">
        <v>22.243636363636366</v>
      </c>
      <c r="AG75" s="116">
        <v>0</v>
      </c>
      <c r="AH75" s="116">
        <v>605</v>
      </c>
    </row>
    <row r="76" spans="1:34" x14ac:dyDescent="0.25">
      <c r="A76" s="97"/>
      <c r="B76" s="97"/>
      <c r="C76" s="89" t="s">
        <v>197</v>
      </c>
      <c r="D76" s="1" t="s">
        <v>51</v>
      </c>
      <c r="E76" s="79">
        <v>9</v>
      </c>
      <c r="F76" s="1" t="s">
        <v>118</v>
      </c>
      <c r="G76" s="6" t="s">
        <v>1</v>
      </c>
      <c r="H76" s="98">
        <v>2</v>
      </c>
      <c r="I76" s="64">
        <v>47.74</v>
      </c>
      <c r="J76" s="64">
        <v>0</v>
      </c>
      <c r="K76" s="65">
        <v>0</v>
      </c>
      <c r="L76" s="65">
        <v>0</v>
      </c>
      <c r="M76" s="92">
        <v>55</v>
      </c>
      <c r="N76" s="94">
        <v>0</v>
      </c>
      <c r="O76" s="94">
        <v>0</v>
      </c>
      <c r="P76" s="94">
        <v>0</v>
      </c>
      <c r="Q76" s="95">
        <v>0</v>
      </c>
      <c r="R76" s="95">
        <v>0</v>
      </c>
      <c r="S76" s="102">
        <v>0</v>
      </c>
      <c r="T76" s="105">
        <v>0</v>
      </c>
      <c r="U76" s="105">
        <v>0</v>
      </c>
      <c r="V76" s="105">
        <v>0</v>
      </c>
      <c r="W76" s="106">
        <v>0</v>
      </c>
      <c r="X76" s="105">
        <v>0</v>
      </c>
      <c r="Y76" s="105">
        <v>0</v>
      </c>
      <c r="Z76" s="108">
        <v>0</v>
      </c>
      <c r="AA76" s="108">
        <v>0</v>
      </c>
      <c r="AB76" s="108">
        <v>0</v>
      </c>
      <c r="AC76" s="91">
        <f t="shared" si="3"/>
        <v>19</v>
      </c>
      <c r="AD76" s="113">
        <f t="shared" si="4"/>
        <v>47.74</v>
      </c>
      <c r="AE76" s="115">
        <v>32</v>
      </c>
      <c r="AF76" s="115">
        <v>20.748421052631581</v>
      </c>
      <c r="AG76" s="116">
        <v>0</v>
      </c>
      <c r="AH76" s="116">
        <v>605</v>
      </c>
    </row>
    <row r="77" spans="1:34" x14ac:dyDescent="0.25">
      <c r="A77" s="97"/>
      <c r="B77" s="97"/>
      <c r="C77" s="89" t="s">
        <v>197</v>
      </c>
      <c r="D77" s="2" t="s">
        <v>52</v>
      </c>
      <c r="E77" s="79">
        <v>9</v>
      </c>
      <c r="F77" s="2" t="s">
        <v>119</v>
      </c>
      <c r="G77" s="7" t="s">
        <v>1</v>
      </c>
      <c r="H77" s="99">
        <v>1</v>
      </c>
      <c r="I77" s="69">
        <v>41.23</v>
      </c>
      <c r="J77" s="69">
        <v>0</v>
      </c>
      <c r="K77" s="65">
        <v>0</v>
      </c>
      <c r="L77" s="65">
        <v>0</v>
      </c>
      <c r="M77" s="93">
        <v>51</v>
      </c>
      <c r="N77" s="94">
        <v>0</v>
      </c>
      <c r="O77" s="94">
        <v>0</v>
      </c>
      <c r="P77" s="94">
        <v>0</v>
      </c>
      <c r="Q77" s="95">
        <v>0</v>
      </c>
      <c r="R77" s="95">
        <v>0</v>
      </c>
      <c r="S77" s="102">
        <v>0</v>
      </c>
      <c r="T77" s="105">
        <v>0</v>
      </c>
      <c r="U77" s="105">
        <v>0</v>
      </c>
      <c r="V77" s="105">
        <v>0</v>
      </c>
      <c r="W77" s="106">
        <v>0</v>
      </c>
      <c r="X77" s="105">
        <v>0</v>
      </c>
      <c r="Y77" s="105">
        <v>0</v>
      </c>
      <c r="Z77" s="108">
        <v>0</v>
      </c>
      <c r="AA77" s="108">
        <v>0</v>
      </c>
      <c r="AB77" s="108">
        <v>0</v>
      </c>
      <c r="AC77" s="91">
        <f t="shared" si="3"/>
        <v>19</v>
      </c>
      <c r="AD77" s="113">
        <f t="shared" si="4"/>
        <v>41.23</v>
      </c>
      <c r="AE77" s="115">
        <v>32</v>
      </c>
      <c r="AF77" s="115">
        <v>19.256249999999998</v>
      </c>
      <c r="AG77" s="116">
        <v>0</v>
      </c>
      <c r="AH77" s="116">
        <v>605</v>
      </c>
    </row>
    <row r="78" spans="1:34" x14ac:dyDescent="0.25">
      <c r="A78" s="97"/>
      <c r="B78" s="97"/>
      <c r="C78" s="89" t="s">
        <v>197</v>
      </c>
      <c r="D78" s="2" t="s">
        <v>52</v>
      </c>
      <c r="E78" s="79">
        <v>9</v>
      </c>
      <c r="F78" s="2" t="s">
        <v>119</v>
      </c>
      <c r="G78" s="7" t="s">
        <v>1</v>
      </c>
      <c r="H78" s="99">
        <v>2</v>
      </c>
      <c r="I78" s="69">
        <v>41.86</v>
      </c>
      <c r="J78" s="69">
        <v>0</v>
      </c>
      <c r="K78" s="65">
        <v>0</v>
      </c>
      <c r="L78" s="65">
        <v>0</v>
      </c>
      <c r="M78" s="93">
        <v>51</v>
      </c>
      <c r="N78" s="94">
        <v>0</v>
      </c>
      <c r="O78" s="94">
        <v>0</v>
      </c>
      <c r="P78" s="94">
        <v>0</v>
      </c>
      <c r="Q78" s="95">
        <v>0</v>
      </c>
      <c r="R78" s="95">
        <v>0</v>
      </c>
      <c r="S78" s="102">
        <v>0</v>
      </c>
      <c r="T78" s="105">
        <v>0</v>
      </c>
      <c r="U78" s="105">
        <v>0</v>
      </c>
      <c r="V78" s="105">
        <v>0</v>
      </c>
      <c r="W78" s="106">
        <v>0</v>
      </c>
      <c r="X78" s="105">
        <v>0</v>
      </c>
      <c r="Y78" s="105">
        <v>0</v>
      </c>
      <c r="Z78" s="108">
        <v>0</v>
      </c>
      <c r="AA78" s="108">
        <v>0</v>
      </c>
      <c r="AB78" s="108">
        <v>0</v>
      </c>
      <c r="AC78" s="91">
        <f t="shared" si="3"/>
        <v>19</v>
      </c>
      <c r="AD78" s="113">
        <f t="shared" si="4"/>
        <v>41.86</v>
      </c>
      <c r="AE78" s="115">
        <v>32</v>
      </c>
      <c r="AF78" s="115">
        <v>19.744912280701755</v>
      </c>
      <c r="AG78" s="116">
        <v>0</v>
      </c>
      <c r="AH78" s="116">
        <v>605</v>
      </c>
    </row>
    <row r="79" spans="1:34" x14ac:dyDescent="0.25">
      <c r="A79" s="97"/>
      <c r="B79" s="97"/>
      <c r="C79" s="89" t="s">
        <v>197</v>
      </c>
      <c r="D79" s="2" t="s">
        <v>53</v>
      </c>
      <c r="E79" s="79">
        <v>9</v>
      </c>
      <c r="F79" s="2" t="s">
        <v>120</v>
      </c>
      <c r="G79" s="7" t="s">
        <v>1</v>
      </c>
      <c r="H79" s="99">
        <v>1</v>
      </c>
      <c r="I79" s="69">
        <v>21.48</v>
      </c>
      <c r="J79" s="69">
        <v>0</v>
      </c>
      <c r="K79" s="65">
        <v>0</v>
      </c>
      <c r="L79" s="65">
        <v>0</v>
      </c>
      <c r="M79" s="93">
        <v>51</v>
      </c>
      <c r="N79" s="94">
        <v>0</v>
      </c>
      <c r="O79" s="94">
        <v>0</v>
      </c>
      <c r="P79" s="94">
        <v>0</v>
      </c>
      <c r="Q79" s="95">
        <v>0</v>
      </c>
      <c r="R79" s="95">
        <v>0</v>
      </c>
      <c r="S79" s="102">
        <v>0</v>
      </c>
      <c r="T79" s="105">
        <v>0</v>
      </c>
      <c r="U79" s="105">
        <v>0</v>
      </c>
      <c r="V79" s="105">
        <v>0</v>
      </c>
      <c r="W79" s="106">
        <v>0</v>
      </c>
      <c r="X79" s="105">
        <v>0</v>
      </c>
      <c r="Y79" s="105">
        <v>0</v>
      </c>
      <c r="Z79" s="108">
        <v>0</v>
      </c>
      <c r="AA79" s="108">
        <v>0</v>
      </c>
      <c r="AB79" s="108">
        <v>0</v>
      </c>
      <c r="AC79" s="91">
        <f t="shared" si="3"/>
        <v>19</v>
      </c>
      <c r="AD79" s="113">
        <f t="shared" si="4"/>
        <v>21.48</v>
      </c>
      <c r="AE79" s="115">
        <v>20</v>
      </c>
      <c r="AF79" s="115">
        <v>9.9152173913043491</v>
      </c>
      <c r="AG79" s="116">
        <v>0</v>
      </c>
      <c r="AH79" s="116">
        <v>614</v>
      </c>
    </row>
    <row r="80" spans="1:34" x14ac:dyDescent="0.25">
      <c r="A80" s="97"/>
      <c r="B80" s="97"/>
      <c r="C80" s="89" t="s">
        <v>197</v>
      </c>
      <c r="D80" s="2" t="s">
        <v>53</v>
      </c>
      <c r="E80" s="79">
        <v>9</v>
      </c>
      <c r="F80" s="2" t="s">
        <v>120</v>
      </c>
      <c r="G80" s="7" t="s">
        <v>1</v>
      </c>
      <c r="H80" s="99">
        <v>2</v>
      </c>
      <c r="I80" s="69">
        <v>21.94</v>
      </c>
      <c r="J80" s="69">
        <v>0</v>
      </c>
      <c r="K80" s="65">
        <v>0</v>
      </c>
      <c r="L80" s="65">
        <v>0</v>
      </c>
      <c r="M80" s="93">
        <v>51</v>
      </c>
      <c r="N80" s="94">
        <v>0</v>
      </c>
      <c r="O80" s="94">
        <v>0</v>
      </c>
      <c r="P80" s="94">
        <v>0</v>
      </c>
      <c r="Q80" s="95">
        <v>0</v>
      </c>
      <c r="R80" s="95">
        <v>0</v>
      </c>
      <c r="S80" s="102">
        <v>0</v>
      </c>
      <c r="T80" s="105">
        <v>0</v>
      </c>
      <c r="U80" s="105">
        <v>0</v>
      </c>
      <c r="V80" s="105">
        <v>0</v>
      </c>
      <c r="W80" s="106">
        <v>0</v>
      </c>
      <c r="X80" s="105">
        <v>0</v>
      </c>
      <c r="Y80" s="105">
        <v>0</v>
      </c>
      <c r="Z80" s="108">
        <v>0</v>
      </c>
      <c r="AA80" s="108">
        <v>0</v>
      </c>
      <c r="AB80" s="108">
        <v>0</v>
      </c>
      <c r="AC80" s="91">
        <f t="shared" si="3"/>
        <v>19</v>
      </c>
      <c r="AD80" s="113">
        <f t="shared" si="4"/>
        <v>21.94</v>
      </c>
      <c r="AE80" s="115">
        <v>20</v>
      </c>
      <c r="AF80" s="115">
        <v>10.293636363636365</v>
      </c>
      <c r="AG80" s="116">
        <v>0</v>
      </c>
      <c r="AH80" s="116">
        <v>614</v>
      </c>
    </row>
    <row r="81" spans="1:34" x14ac:dyDescent="0.25">
      <c r="A81" s="97"/>
      <c r="B81" s="97"/>
      <c r="C81" s="89" t="s">
        <v>197</v>
      </c>
      <c r="D81" s="2" t="s">
        <v>54</v>
      </c>
      <c r="E81" s="79">
        <v>9</v>
      </c>
      <c r="F81" s="2" t="s">
        <v>121</v>
      </c>
      <c r="G81" s="7" t="s">
        <v>1</v>
      </c>
      <c r="H81" s="99">
        <v>1</v>
      </c>
      <c r="I81" s="69">
        <v>17.96</v>
      </c>
      <c r="J81" s="69">
        <v>0</v>
      </c>
      <c r="K81" s="65">
        <v>0</v>
      </c>
      <c r="L81" s="65">
        <v>0</v>
      </c>
      <c r="M81" s="93">
        <v>46</v>
      </c>
      <c r="N81" s="94">
        <v>0</v>
      </c>
      <c r="O81" s="94">
        <v>0</v>
      </c>
      <c r="P81" s="94">
        <v>0</v>
      </c>
      <c r="Q81" s="95">
        <v>0</v>
      </c>
      <c r="R81" s="95">
        <v>0</v>
      </c>
      <c r="S81" s="102">
        <v>0</v>
      </c>
      <c r="T81" s="105">
        <v>0</v>
      </c>
      <c r="U81" s="105">
        <v>0</v>
      </c>
      <c r="V81" s="105">
        <v>0</v>
      </c>
      <c r="W81" s="106">
        <v>0</v>
      </c>
      <c r="X81" s="105">
        <v>0</v>
      </c>
      <c r="Y81" s="105">
        <v>0</v>
      </c>
      <c r="Z81" s="108">
        <v>0</v>
      </c>
      <c r="AA81" s="108">
        <v>0</v>
      </c>
      <c r="AB81" s="108">
        <v>0</v>
      </c>
      <c r="AC81" s="91">
        <f t="shared" si="3"/>
        <v>19</v>
      </c>
      <c r="AD81" s="113">
        <f t="shared" si="4"/>
        <v>17.96</v>
      </c>
      <c r="AE81" s="115">
        <v>15</v>
      </c>
      <c r="AF81" s="115">
        <v>11.437826086956521</v>
      </c>
      <c r="AG81" s="116">
        <v>0</v>
      </c>
      <c r="AH81" s="116">
        <v>614</v>
      </c>
    </row>
    <row r="82" spans="1:34" x14ac:dyDescent="0.25">
      <c r="A82" s="97"/>
      <c r="B82" s="97"/>
      <c r="C82" s="89" t="s">
        <v>197</v>
      </c>
      <c r="D82" s="2" t="s">
        <v>54</v>
      </c>
      <c r="E82" s="79">
        <v>9</v>
      </c>
      <c r="F82" s="2" t="s">
        <v>121</v>
      </c>
      <c r="G82" s="7" t="s">
        <v>1</v>
      </c>
      <c r="H82" s="99">
        <v>2</v>
      </c>
      <c r="I82" s="69">
        <v>17.940000000000001</v>
      </c>
      <c r="J82" s="69">
        <v>0</v>
      </c>
      <c r="K82" s="65">
        <v>0</v>
      </c>
      <c r="L82" s="65">
        <v>0</v>
      </c>
      <c r="M82" s="93">
        <v>46</v>
      </c>
      <c r="N82" s="94">
        <v>0</v>
      </c>
      <c r="O82" s="94">
        <v>0</v>
      </c>
      <c r="P82" s="94">
        <v>0</v>
      </c>
      <c r="Q82" s="95">
        <v>0</v>
      </c>
      <c r="R82" s="95">
        <v>0</v>
      </c>
      <c r="S82" s="102">
        <v>0</v>
      </c>
      <c r="T82" s="105">
        <v>0</v>
      </c>
      <c r="U82" s="105">
        <v>0</v>
      </c>
      <c r="V82" s="105">
        <v>0</v>
      </c>
      <c r="W82" s="106">
        <v>0</v>
      </c>
      <c r="X82" s="105">
        <v>0</v>
      </c>
      <c r="Y82" s="105">
        <v>0</v>
      </c>
      <c r="Z82" s="108">
        <v>0</v>
      </c>
      <c r="AA82" s="108">
        <v>0</v>
      </c>
      <c r="AB82" s="108">
        <v>0</v>
      </c>
      <c r="AC82" s="91">
        <f t="shared" si="3"/>
        <v>19</v>
      </c>
      <c r="AD82" s="113">
        <f t="shared" si="4"/>
        <v>17.940000000000001</v>
      </c>
      <c r="AE82" s="115">
        <v>15</v>
      </c>
      <c r="AF82" s="115">
        <v>10.581600000000002</v>
      </c>
      <c r="AG82" s="116">
        <v>0</v>
      </c>
      <c r="AH82" s="116">
        <v>614</v>
      </c>
    </row>
    <row r="83" spans="1:34" x14ac:dyDescent="0.25">
      <c r="A83" s="97"/>
      <c r="B83" s="97"/>
      <c r="C83" s="89" t="s">
        <v>197</v>
      </c>
      <c r="D83" s="2" t="s">
        <v>145</v>
      </c>
      <c r="E83" s="79">
        <v>9</v>
      </c>
      <c r="F83" s="2" t="s">
        <v>146</v>
      </c>
      <c r="G83" s="7" t="s">
        <v>1</v>
      </c>
      <c r="H83" s="99">
        <v>1</v>
      </c>
      <c r="I83" s="69">
        <v>19.97</v>
      </c>
      <c r="J83" s="69">
        <v>0</v>
      </c>
      <c r="K83" s="65">
        <v>0</v>
      </c>
      <c r="L83" s="65">
        <v>0</v>
      </c>
      <c r="M83" s="93">
        <v>47</v>
      </c>
      <c r="N83" s="94">
        <v>0</v>
      </c>
      <c r="O83" s="94">
        <v>0</v>
      </c>
      <c r="P83" s="94">
        <v>0</v>
      </c>
      <c r="Q83" s="95">
        <v>0</v>
      </c>
      <c r="R83" s="95">
        <v>0</v>
      </c>
      <c r="S83" s="102">
        <v>0</v>
      </c>
      <c r="T83" s="105">
        <v>0</v>
      </c>
      <c r="U83" s="105">
        <v>0</v>
      </c>
      <c r="V83" s="105">
        <v>0</v>
      </c>
      <c r="W83" s="106">
        <v>0</v>
      </c>
      <c r="X83" s="105">
        <v>0</v>
      </c>
      <c r="Y83" s="105">
        <v>0</v>
      </c>
      <c r="Z83" s="108">
        <v>0</v>
      </c>
      <c r="AA83" s="108">
        <v>0</v>
      </c>
      <c r="AB83" s="108">
        <v>0</v>
      </c>
      <c r="AC83" s="91">
        <f t="shared" si="3"/>
        <v>19</v>
      </c>
      <c r="AD83" s="113">
        <f t="shared" si="4"/>
        <v>19.97</v>
      </c>
      <c r="AE83" s="115">
        <v>14.1</v>
      </c>
      <c r="AF83" s="115">
        <v>13.2</v>
      </c>
      <c r="AG83" s="116">
        <v>0</v>
      </c>
      <c r="AH83" s="116">
        <v>627</v>
      </c>
    </row>
    <row r="84" spans="1:34" x14ac:dyDescent="0.25">
      <c r="A84" s="97"/>
      <c r="B84" s="97"/>
      <c r="C84" s="89" t="s">
        <v>197</v>
      </c>
      <c r="D84" s="2" t="s">
        <v>145</v>
      </c>
      <c r="E84" s="79">
        <v>9</v>
      </c>
      <c r="F84" s="2" t="s">
        <v>146</v>
      </c>
      <c r="G84" s="7" t="s">
        <v>1</v>
      </c>
      <c r="H84" s="99">
        <v>2</v>
      </c>
      <c r="I84" s="69">
        <v>19.989999999999998</v>
      </c>
      <c r="J84" s="69">
        <v>0</v>
      </c>
      <c r="K84" s="65">
        <v>0</v>
      </c>
      <c r="L84" s="65">
        <v>0</v>
      </c>
      <c r="M84" s="93">
        <v>47</v>
      </c>
      <c r="N84" s="94">
        <v>0</v>
      </c>
      <c r="O84" s="94">
        <v>0</v>
      </c>
      <c r="P84" s="94">
        <v>0</v>
      </c>
      <c r="Q84" s="95">
        <v>0</v>
      </c>
      <c r="R84" s="95">
        <v>0</v>
      </c>
      <c r="S84" s="102">
        <v>0</v>
      </c>
      <c r="T84" s="105">
        <v>0</v>
      </c>
      <c r="U84" s="105">
        <v>0</v>
      </c>
      <c r="V84" s="105">
        <v>0</v>
      </c>
      <c r="W84" s="106">
        <v>0</v>
      </c>
      <c r="X84" s="105">
        <v>0</v>
      </c>
      <c r="Y84" s="105">
        <v>0</v>
      </c>
      <c r="Z84" s="108">
        <v>0</v>
      </c>
      <c r="AA84" s="108">
        <v>0</v>
      </c>
      <c r="AB84" s="108">
        <v>0</v>
      </c>
      <c r="AC84" s="91">
        <f t="shared" si="3"/>
        <v>19</v>
      </c>
      <c r="AD84" s="113">
        <f t="shared" si="4"/>
        <v>19.989999999999998</v>
      </c>
      <c r="AE84" s="115">
        <v>14.1</v>
      </c>
      <c r="AF84" s="115">
        <v>13.2</v>
      </c>
      <c r="AG84" s="116">
        <v>0</v>
      </c>
      <c r="AH84" s="116">
        <v>627</v>
      </c>
    </row>
    <row r="85" spans="1:34" x14ac:dyDescent="0.25">
      <c r="A85" s="97"/>
      <c r="B85" s="97"/>
      <c r="C85" s="89" t="s">
        <v>197</v>
      </c>
      <c r="D85" s="2" t="s">
        <v>55</v>
      </c>
      <c r="E85" s="79">
        <v>9</v>
      </c>
      <c r="F85" s="2" t="s">
        <v>122</v>
      </c>
      <c r="G85" s="7" t="s">
        <v>1</v>
      </c>
      <c r="H85" s="99">
        <v>1</v>
      </c>
      <c r="I85" s="69">
        <v>31.76</v>
      </c>
      <c r="J85" s="69">
        <v>0</v>
      </c>
      <c r="K85" s="65">
        <v>0</v>
      </c>
      <c r="L85" s="65">
        <v>0</v>
      </c>
      <c r="M85" s="93">
        <v>47</v>
      </c>
      <c r="N85" s="94">
        <v>0</v>
      </c>
      <c r="O85" s="94">
        <v>0</v>
      </c>
      <c r="P85" s="94">
        <v>0</v>
      </c>
      <c r="Q85" s="95">
        <v>0</v>
      </c>
      <c r="R85" s="95">
        <v>0</v>
      </c>
      <c r="S85" s="102">
        <v>0</v>
      </c>
      <c r="T85" s="105">
        <v>0</v>
      </c>
      <c r="U85" s="105">
        <v>0</v>
      </c>
      <c r="V85" s="105">
        <v>0</v>
      </c>
      <c r="W85" s="106">
        <v>0</v>
      </c>
      <c r="X85" s="105">
        <v>0</v>
      </c>
      <c r="Y85" s="105">
        <v>0</v>
      </c>
      <c r="Z85" s="108">
        <v>0</v>
      </c>
      <c r="AA85" s="108">
        <v>0</v>
      </c>
      <c r="AB85" s="108">
        <v>0</v>
      </c>
      <c r="AC85" s="91">
        <v>0</v>
      </c>
      <c r="AD85" s="113">
        <f t="shared" si="4"/>
        <v>31.76</v>
      </c>
      <c r="AE85" s="115">
        <v>0</v>
      </c>
      <c r="AF85" s="115">
        <v>13.113999999999999</v>
      </c>
      <c r="AG85" s="116">
        <v>0</v>
      </c>
      <c r="AH85" s="116">
        <v>615</v>
      </c>
    </row>
    <row r="86" spans="1:34" x14ac:dyDescent="0.25">
      <c r="A86" s="97"/>
      <c r="B86" s="97"/>
      <c r="C86" s="89" t="s">
        <v>197</v>
      </c>
      <c r="D86" s="2" t="s">
        <v>55</v>
      </c>
      <c r="E86" s="79">
        <v>9</v>
      </c>
      <c r="F86" s="2" t="s">
        <v>122</v>
      </c>
      <c r="G86" s="7" t="s">
        <v>1</v>
      </c>
      <c r="H86" s="99">
        <v>2</v>
      </c>
      <c r="I86" s="69">
        <v>33.18</v>
      </c>
      <c r="J86" s="69">
        <v>0</v>
      </c>
      <c r="K86" s="65">
        <v>0</v>
      </c>
      <c r="L86" s="65">
        <v>0</v>
      </c>
      <c r="M86" s="93">
        <v>47</v>
      </c>
      <c r="N86" s="100">
        <v>0</v>
      </c>
      <c r="O86" s="100">
        <v>0</v>
      </c>
      <c r="P86" s="100">
        <v>0</v>
      </c>
      <c r="Q86" s="101">
        <v>0</v>
      </c>
      <c r="R86" s="101">
        <v>0</v>
      </c>
      <c r="S86" s="103">
        <v>0</v>
      </c>
      <c r="T86" s="105">
        <v>0</v>
      </c>
      <c r="U86" s="105">
        <v>0</v>
      </c>
      <c r="V86" s="105">
        <v>0</v>
      </c>
      <c r="W86" s="106">
        <v>0</v>
      </c>
      <c r="X86" s="105">
        <v>0</v>
      </c>
      <c r="Y86" s="105">
        <v>0</v>
      </c>
      <c r="Z86" s="108">
        <v>0</v>
      </c>
      <c r="AA86" s="108">
        <v>0</v>
      </c>
      <c r="AB86" s="108">
        <v>0</v>
      </c>
      <c r="AC86" s="91">
        <v>0</v>
      </c>
      <c r="AD86" s="113">
        <f t="shared" si="4"/>
        <v>33.18</v>
      </c>
      <c r="AE86" s="115">
        <v>0</v>
      </c>
      <c r="AF86" s="115">
        <v>13.7</v>
      </c>
      <c r="AG86" s="116">
        <v>0</v>
      </c>
      <c r="AH86" s="116">
        <v>615</v>
      </c>
    </row>
  </sheetData>
  <sheetProtection selectLockedCells="1" selectUnlockedCells="1"/>
  <pageMargins left="0.51180555555555551" right="0.51180555555555551" top="0.78749999999999998" bottom="0.78749999999999998" header="0.51180555555555551" footer="0.51180555555555551"/>
  <pageSetup paperSize="9" scale="32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pageSetUpPr fitToPage="1"/>
  </sheetPr>
  <dimension ref="A1:AC3"/>
  <sheetViews>
    <sheetView topLeftCell="G1" zoomScale="80" zoomScaleNormal="80" workbookViewId="0">
      <selection activeCell="A4" sqref="A4"/>
    </sheetView>
  </sheetViews>
  <sheetFormatPr defaultColWidth="67.85546875" defaultRowHeight="15" x14ac:dyDescent="0.25"/>
  <cols>
    <col min="1" max="2" width="5.5703125" style="82" customWidth="1"/>
    <col min="3" max="3" width="11" style="82" customWidth="1"/>
    <col min="4" max="4" width="11" style="83" customWidth="1"/>
    <col min="5" max="5" width="7.140625" style="80" customWidth="1"/>
    <col min="6" max="6" width="68.28515625" style="83" customWidth="1"/>
    <col min="7" max="7" width="8.5703125" style="82" customWidth="1"/>
    <col min="8" max="8" width="8.7109375" style="81" customWidth="1"/>
    <col min="9" max="9" width="11" style="84" customWidth="1"/>
    <col min="10" max="10" width="10.7109375" style="84" customWidth="1"/>
    <col min="11" max="12" width="15.5703125" style="84" customWidth="1"/>
    <col min="13" max="13" width="9.42578125" style="84" customWidth="1"/>
    <col min="14" max="14" width="9.28515625" style="85" customWidth="1"/>
    <col min="15" max="15" width="10.28515625" style="85" customWidth="1"/>
    <col min="16" max="16" width="15.5703125" style="85" customWidth="1"/>
    <col min="17" max="17" width="9.28515625" style="85" customWidth="1"/>
    <col min="18" max="18" width="10.28515625" style="85" customWidth="1"/>
    <col min="19" max="19" width="15.5703125" style="85" customWidth="1"/>
    <col min="20" max="20" width="12" style="81" customWidth="1"/>
    <col min="21" max="21" width="8.85546875" style="80" customWidth="1"/>
    <col min="22" max="22" width="21.42578125" style="80" customWidth="1"/>
    <col min="23" max="23" width="9.28515625" style="80" customWidth="1"/>
    <col min="24" max="24" width="23.42578125" style="86" customWidth="1"/>
    <col min="25" max="25" width="23.7109375" style="86" customWidth="1"/>
    <col min="26" max="26" width="15.85546875" style="86" customWidth="1"/>
    <col min="27" max="27" width="15.140625" style="86" customWidth="1"/>
    <col min="28" max="28" width="21.42578125" style="86" customWidth="1"/>
    <col min="29" max="29" width="10.28515625" style="5" customWidth="1"/>
    <col min="30" max="16384" width="67.85546875" style="4"/>
  </cols>
  <sheetData>
    <row r="1" spans="1:29" ht="16.899999999999999" customHeight="1" x14ac:dyDescent="0.25">
      <c r="A1" s="151" t="s">
        <v>58</v>
      </c>
      <c r="B1" s="152" t="s">
        <v>59</v>
      </c>
      <c r="C1" s="74" t="s">
        <v>60</v>
      </c>
      <c r="D1" s="75" t="s">
        <v>60</v>
      </c>
      <c r="E1" s="151" t="s">
        <v>61</v>
      </c>
      <c r="F1" s="153" t="s">
        <v>182</v>
      </c>
      <c r="G1" s="75" t="s">
        <v>62</v>
      </c>
      <c r="H1" s="151" t="s">
        <v>63</v>
      </c>
      <c r="I1" s="67" t="s">
        <v>64</v>
      </c>
      <c r="J1" s="62" t="s">
        <v>64</v>
      </c>
      <c r="K1" s="62" t="s">
        <v>65</v>
      </c>
      <c r="L1" s="62" t="s">
        <v>65</v>
      </c>
      <c r="M1" s="62" t="s">
        <v>66</v>
      </c>
      <c r="N1" s="150" t="s">
        <v>194</v>
      </c>
      <c r="O1" s="150"/>
      <c r="P1" s="150"/>
      <c r="Q1" s="150" t="s">
        <v>67</v>
      </c>
      <c r="R1" s="150"/>
      <c r="S1" s="150"/>
      <c r="T1" s="148" t="s">
        <v>68</v>
      </c>
      <c r="U1" s="148"/>
      <c r="V1" s="148"/>
      <c r="W1" s="148"/>
      <c r="X1" s="148" t="s">
        <v>69</v>
      </c>
      <c r="Y1" s="148"/>
      <c r="Z1" s="149" t="s">
        <v>70</v>
      </c>
      <c r="AA1" s="149"/>
      <c r="AB1" s="149"/>
      <c r="AC1" s="76" t="s">
        <v>71</v>
      </c>
    </row>
    <row r="2" spans="1:29" x14ac:dyDescent="0.25">
      <c r="A2" s="151"/>
      <c r="B2" s="152"/>
      <c r="C2" s="77" t="s">
        <v>72</v>
      </c>
      <c r="D2" s="78" t="s">
        <v>73</v>
      </c>
      <c r="E2" s="151"/>
      <c r="F2" s="154"/>
      <c r="G2" s="78" t="s">
        <v>74</v>
      </c>
      <c r="H2" s="151"/>
      <c r="I2" s="68" t="s">
        <v>75</v>
      </c>
      <c r="J2" s="63" t="s">
        <v>76</v>
      </c>
      <c r="K2" s="63" t="s">
        <v>77</v>
      </c>
      <c r="L2" s="63" t="s">
        <v>78</v>
      </c>
      <c r="M2" s="63" t="s">
        <v>79</v>
      </c>
      <c r="N2" s="73" t="s">
        <v>80</v>
      </c>
      <c r="O2" s="73" t="s">
        <v>81</v>
      </c>
      <c r="P2" s="73" t="s">
        <v>82</v>
      </c>
      <c r="Q2" s="73" t="s">
        <v>80</v>
      </c>
      <c r="R2" s="73" t="s">
        <v>81</v>
      </c>
      <c r="S2" s="73" t="s">
        <v>82</v>
      </c>
      <c r="T2" s="104" t="s">
        <v>83</v>
      </c>
      <c r="U2" s="104" t="s">
        <v>84</v>
      </c>
      <c r="V2" s="104" t="s">
        <v>85</v>
      </c>
      <c r="W2" s="104" t="s">
        <v>86</v>
      </c>
      <c r="X2" s="104" t="s">
        <v>87</v>
      </c>
      <c r="Y2" s="104" t="s">
        <v>88</v>
      </c>
      <c r="Z2" s="107" t="s">
        <v>89</v>
      </c>
      <c r="AA2" s="107" t="s">
        <v>90</v>
      </c>
      <c r="AB2" s="104" t="s">
        <v>85</v>
      </c>
      <c r="AC2" s="90" t="s">
        <v>91</v>
      </c>
    </row>
    <row r="3" spans="1:29" x14ac:dyDescent="0.25">
      <c r="A3" s="97"/>
      <c r="B3" s="97"/>
      <c r="C3" s="89"/>
      <c r="D3" s="2"/>
      <c r="E3" s="79"/>
      <c r="F3" s="2"/>
      <c r="G3" s="7"/>
      <c r="H3" s="99"/>
      <c r="I3" s="69"/>
      <c r="J3" s="69"/>
      <c r="K3" s="65"/>
      <c r="L3" s="65"/>
      <c r="M3" s="93"/>
      <c r="N3" s="100"/>
      <c r="O3" s="100"/>
      <c r="P3" s="100"/>
      <c r="Q3" s="101"/>
      <c r="R3" s="101"/>
      <c r="S3" s="103"/>
      <c r="T3" s="105"/>
      <c r="U3" s="105"/>
      <c r="V3" s="105"/>
      <c r="W3" s="106"/>
      <c r="X3" s="105"/>
      <c r="Y3" s="105"/>
      <c r="Z3" s="108"/>
      <c r="AA3" s="108"/>
      <c r="AB3" s="108"/>
      <c r="AC3" s="91"/>
    </row>
  </sheetData>
  <sheetProtection selectLockedCells="1" selectUnlockedCells="1"/>
  <mergeCells count="10">
    <mergeCell ref="T1:W1"/>
    <mergeCell ref="X1:Y1"/>
    <mergeCell ref="Z1:AB1"/>
    <mergeCell ref="Q1:S1"/>
    <mergeCell ref="A1:A2"/>
    <mergeCell ref="B1:B2"/>
    <mergeCell ref="E1:E2"/>
    <mergeCell ref="H1:H2"/>
    <mergeCell ref="N1:P1"/>
    <mergeCell ref="F1:F2"/>
  </mergeCells>
  <pageMargins left="0.51180555555555551" right="0.51180555555555551" top="0.78749999999999998" bottom="0.78749999999999998" header="0.51180555555555551" footer="0.51180555555555551"/>
  <pageSetup paperSize="9" scale="32" firstPageNumber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B97D4-9AD9-40EB-B8B8-6589964BE9DD}">
  <dimension ref="A1:X56"/>
  <sheetViews>
    <sheetView tabSelected="1" zoomScaleNormal="100" workbookViewId="0">
      <pane ySplit="1" topLeftCell="A21" activePane="bottomLeft" state="frozen"/>
      <selection pane="bottomLeft" activeCell="K59" sqref="K59"/>
    </sheetView>
  </sheetViews>
  <sheetFormatPr defaultColWidth="55" defaultRowHeight="11.25" x14ac:dyDescent="0.2"/>
  <cols>
    <col min="1" max="1" width="6.42578125" style="8" customWidth="1"/>
    <col min="2" max="2" width="48.5703125" style="8" bestFit="1" customWidth="1"/>
    <col min="3" max="3" width="6.140625" style="8" customWidth="1"/>
    <col min="4" max="4" width="8.42578125" style="8" customWidth="1"/>
    <col min="5" max="5" width="8.140625" style="8" customWidth="1"/>
    <col min="6" max="6" width="10.85546875" style="8" customWidth="1"/>
    <col min="7" max="7" width="9" style="8" customWidth="1"/>
    <col min="8" max="8" width="5.140625" style="8" bestFit="1" customWidth="1"/>
    <col min="9" max="9" width="8.42578125" style="8" bestFit="1" customWidth="1"/>
    <col min="10" max="10" width="10.5703125" style="8" customWidth="1"/>
    <col min="11" max="11" width="7.28515625" style="8" bestFit="1" customWidth="1"/>
    <col min="12" max="12" width="10" style="8" customWidth="1"/>
    <col min="13" max="13" width="9" style="8" bestFit="1" customWidth="1"/>
    <col min="14" max="14" width="7.28515625" style="8" bestFit="1" customWidth="1"/>
    <col min="15" max="15" width="8.7109375" style="8" bestFit="1" customWidth="1"/>
    <col min="16" max="16" width="15.7109375" style="8" customWidth="1"/>
    <col min="17" max="17" width="12.140625" style="8" customWidth="1"/>
    <col min="18" max="18" width="9.42578125" style="8" customWidth="1"/>
    <col min="19" max="19" width="12" style="8" customWidth="1"/>
    <col min="20" max="20" width="7.42578125" style="8" bestFit="1" customWidth="1"/>
    <col min="21" max="21" width="9" style="8" bestFit="1" customWidth="1"/>
    <col min="22" max="22" width="10.28515625" style="8" bestFit="1" customWidth="1"/>
    <col min="23" max="23" width="8" style="8" bestFit="1" customWidth="1"/>
    <col min="24" max="16384" width="55" style="8"/>
  </cols>
  <sheetData>
    <row r="1" spans="1:24" ht="29.25" customHeight="1" x14ac:dyDescent="0.2">
      <c r="A1" s="161" t="s">
        <v>73</v>
      </c>
      <c r="B1" s="162"/>
      <c r="C1" s="136" t="s">
        <v>123</v>
      </c>
      <c r="D1" s="9" t="s">
        <v>260</v>
      </c>
      <c r="E1" s="9" t="s">
        <v>261</v>
      </c>
      <c r="F1" s="9" t="s">
        <v>272</v>
      </c>
      <c r="G1" s="9" t="s">
        <v>262</v>
      </c>
      <c r="H1" s="9" t="s">
        <v>263</v>
      </c>
      <c r="I1" s="9" t="s">
        <v>264</v>
      </c>
      <c r="J1" s="9" t="s">
        <v>265</v>
      </c>
      <c r="K1" s="9" t="s">
        <v>266</v>
      </c>
      <c r="L1" s="9" t="s">
        <v>267</v>
      </c>
      <c r="M1" s="9" t="s">
        <v>124</v>
      </c>
      <c r="N1" s="9" t="s">
        <v>125</v>
      </c>
      <c r="O1" s="9" t="s">
        <v>268</v>
      </c>
      <c r="P1" s="9" t="s">
        <v>269</v>
      </c>
      <c r="Q1" s="9" t="s">
        <v>270</v>
      </c>
      <c r="R1" s="9" t="s">
        <v>271</v>
      </c>
      <c r="S1" s="9" t="s">
        <v>273</v>
      </c>
      <c r="T1" s="9" t="s">
        <v>274</v>
      </c>
      <c r="U1" s="9" t="s">
        <v>275</v>
      </c>
      <c r="V1" s="9" t="s">
        <v>126</v>
      </c>
      <c r="W1" s="9" t="s">
        <v>276</v>
      </c>
    </row>
    <row r="2" spans="1:24" ht="12" customHeight="1" x14ac:dyDescent="0.2">
      <c r="A2" s="55" t="s">
        <v>24</v>
      </c>
      <c r="B2" s="56" t="s">
        <v>147</v>
      </c>
      <c r="C2" s="169"/>
      <c r="D2" s="48">
        <v>0</v>
      </c>
      <c r="E2" s="48">
        <v>0</v>
      </c>
      <c r="F2" s="48">
        <v>0</v>
      </c>
      <c r="G2" s="48">
        <v>0</v>
      </c>
      <c r="H2" s="48">
        <v>0</v>
      </c>
      <c r="I2" s="48">
        <v>0</v>
      </c>
      <c r="J2" s="48">
        <v>0</v>
      </c>
      <c r="K2" s="48">
        <v>0</v>
      </c>
      <c r="L2" s="48">
        <v>0</v>
      </c>
      <c r="M2" s="48">
        <v>0</v>
      </c>
      <c r="N2" s="48">
        <v>0</v>
      </c>
      <c r="O2" s="48">
        <v>0</v>
      </c>
      <c r="P2" s="49">
        <v>0</v>
      </c>
      <c r="Q2" s="50">
        <v>0</v>
      </c>
      <c r="R2" s="50">
        <v>0</v>
      </c>
      <c r="S2" s="50">
        <v>0</v>
      </c>
      <c r="T2" s="52">
        <v>0</v>
      </c>
      <c r="U2" s="52">
        <v>0</v>
      </c>
      <c r="V2" s="53">
        <v>0</v>
      </c>
      <c r="W2" s="53">
        <v>0</v>
      </c>
      <c r="X2" s="10"/>
    </row>
    <row r="3" spans="1:24" ht="12" customHeight="1" x14ac:dyDescent="0.2">
      <c r="A3" s="55" t="s">
        <v>26</v>
      </c>
      <c r="B3" s="51" t="s">
        <v>148</v>
      </c>
      <c r="C3" s="169"/>
      <c r="D3" s="48">
        <v>0</v>
      </c>
      <c r="E3" s="48">
        <v>0</v>
      </c>
      <c r="F3" s="48">
        <v>0</v>
      </c>
      <c r="G3" s="48">
        <v>0</v>
      </c>
      <c r="H3" s="48">
        <v>0</v>
      </c>
      <c r="I3" s="48">
        <v>0</v>
      </c>
      <c r="J3" s="48">
        <v>0</v>
      </c>
      <c r="K3" s="48">
        <v>0</v>
      </c>
      <c r="L3" s="48">
        <v>0</v>
      </c>
      <c r="M3" s="48">
        <v>0</v>
      </c>
      <c r="N3" s="48">
        <v>0</v>
      </c>
      <c r="O3" s="48">
        <v>0</v>
      </c>
      <c r="P3" s="49">
        <v>0</v>
      </c>
      <c r="Q3" s="50">
        <v>0</v>
      </c>
      <c r="R3" s="50">
        <v>0</v>
      </c>
      <c r="S3" s="50">
        <v>0</v>
      </c>
      <c r="T3" s="52">
        <v>0</v>
      </c>
      <c r="U3" s="52">
        <v>0</v>
      </c>
      <c r="V3" s="53">
        <v>0</v>
      </c>
      <c r="W3" s="53">
        <v>0</v>
      </c>
      <c r="X3" s="10"/>
    </row>
    <row r="4" spans="1:24" ht="12" customHeight="1" x14ac:dyDescent="0.2">
      <c r="A4" s="55" t="s">
        <v>27</v>
      </c>
      <c r="B4" s="51" t="s">
        <v>149</v>
      </c>
      <c r="C4" s="169"/>
      <c r="D4" s="48">
        <v>0</v>
      </c>
      <c r="E4" s="48">
        <v>0</v>
      </c>
      <c r="F4" s="48">
        <v>0</v>
      </c>
      <c r="G4" s="48">
        <v>0</v>
      </c>
      <c r="H4" s="48">
        <v>0</v>
      </c>
      <c r="I4" s="48">
        <v>0</v>
      </c>
      <c r="J4" s="48">
        <v>0</v>
      </c>
      <c r="K4" s="48">
        <v>0</v>
      </c>
      <c r="L4" s="48">
        <v>0</v>
      </c>
      <c r="M4" s="48">
        <v>0</v>
      </c>
      <c r="N4" s="48">
        <v>0</v>
      </c>
      <c r="O4" s="48">
        <v>0</v>
      </c>
      <c r="P4" s="49">
        <v>0</v>
      </c>
      <c r="Q4" s="50">
        <v>0</v>
      </c>
      <c r="R4" s="50">
        <v>0</v>
      </c>
      <c r="S4" s="50">
        <v>0</v>
      </c>
      <c r="T4" s="52">
        <v>0</v>
      </c>
      <c r="U4" s="52">
        <v>0</v>
      </c>
      <c r="V4" s="53">
        <v>0</v>
      </c>
      <c r="W4" s="53">
        <v>0</v>
      </c>
      <c r="X4" s="10"/>
    </row>
    <row r="5" spans="1:24" ht="12" customHeight="1" x14ac:dyDescent="0.2">
      <c r="A5" s="55" t="s">
        <v>28</v>
      </c>
      <c r="B5" s="51" t="s">
        <v>150</v>
      </c>
      <c r="C5" s="169"/>
      <c r="D5" s="48">
        <v>0</v>
      </c>
      <c r="E5" s="48">
        <v>0</v>
      </c>
      <c r="F5" s="48">
        <v>0</v>
      </c>
      <c r="G5" s="48">
        <v>0</v>
      </c>
      <c r="H5" s="48">
        <v>0</v>
      </c>
      <c r="I5" s="48">
        <v>0</v>
      </c>
      <c r="J5" s="48">
        <v>0</v>
      </c>
      <c r="K5" s="48">
        <v>0</v>
      </c>
      <c r="L5" s="48">
        <v>0</v>
      </c>
      <c r="M5" s="48">
        <v>0</v>
      </c>
      <c r="N5" s="48">
        <v>0</v>
      </c>
      <c r="O5" s="48">
        <v>0</v>
      </c>
      <c r="P5" s="49">
        <v>0</v>
      </c>
      <c r="Q5" s="50">
        <v>0</v>
      </c>
      <c r="R5" s="50">
        <v>0</v>
      </c>
      <c r="S5" s="50">
        <v>0</v>
      </c>
      <c r="T5" s="52">
        <v>0</v>
      </c>
      <c r="U5" s="52">
        <v>0</v>
      </c>
      <c r="V5" s="53">
        <v>0</v>
      </c>
      <c r="W5" s="53">
        <v>0</v>
      </c>
      <c r="X5" s="10"/>
    </row>
    <row r="6" spans="1:24" ht="12" customHeight="1" x14ac:dyDescent="0.2">
      <c r="A6" s="55" t="s">
        <v>29</v>
      </c>
      <c r="B6" s="51" t="s">
        <v>151</v>
      </c>
      <c r="C6" s="169"/>
      <c r="D6" s="48">
        <v>0</v>
      </c>
      <c r="E6" s="48">
        <v>0</v>
      </c>
      <c r="F6" s="48">
        <v>0</v>
      </c>
      <c r="G6" s="48">
        <v>0</v>
      </c>
      <c r="H6" s="48">
        <v>0</v>
      </c>
      <c r="I6" s="48">
        <v>0</v>
      </c>
      <c r="J6" s="48">
        <v>0</v>
      </c>
      <c r="K6" s="48">
        <v>0</v>
      </c>
      <c r="L6" s="48">
        <v>0</v>
      </c>
      <c r="M6" s="48">
        <v>0</v>
      </c>
      <c r="N6" s="48">
        <v>0</v>
      </c>
      <c r="O6" s="48">
        <v>0</v>
      </c>
      <c r="P6" s="49">
        <v>0</v>
      </c>
      <c r="Q6" s="50">
        <v>0</v>
      </c>
      <c r="R6" s="50">
        <v>0</v>
      </c>
      <c r="S6" s="50">
        <v>0</v>
      </c>
      <c r="T6" s="52">
        <v>0</v>
      </c>
      <c r="U6" s="52">
        <v>0</v>
      </c>
      <c r="V6" s="53">
        <v>0</v>
      </c>
      <c r="W6" s="53">
        <v>0</v>
      </c>
      <c r="X6" s="10"/>
    </row>
    <row r="7" spans="1:24" ht="12" customHeight="1" x14ac:dyDescent="0.2">
      <c r="A7" s="55" t="s">
        <v>30</v>
      </c>
      <c r="B7" s="51" t="s">
        <v>152</v>
      </c>
      <c r="C7" s="169"/>
      <c r="D7" s="48">
        <v>0</v>
      </c>
      <c r="E7" s="48">
        <v>0</v>
      </c>
      <c r="F7" s="48">
        <v>0</v>
      </c>
      <c r="G7" s="48">
        <v>0</v>
      </c>
      <c r="H7" s="48">
        <v>0</v>
      </c>
      <c r="I7" s="48">
        <v>0</v>
      </c>
      <c r="J7" s="48">
        <v>0</v>
      </c>
      <c r="K7" s="48">
        <v>0</v>
      </c>
      <c r="L7" s="48">
        <v>0</v>
      </c>
      <c r="M7" s="48">
        <v>0</v>
      </c>
      <c r="N7" s="48">
        <v>0</v>
      </c>
      <c r="O7" s="48">
        <v>0</v>
      </c>
      <c r="P7" s="49">
        <v>0</v>
      </c>
      <c r="Q7" s="50">
        <v>0</v>
      </c>
      <c r="R7" s="50">
        <v>0</v>
      </c>
      <c r="S7" s="50">
        <v>0</v>
      </c>
      <c r="T7" s="52">
        <v>0</v>
      </c>
      <c r="U7" s="52">
        <v>0</v>
      </c>
      <c r="V7" s="53">
        <v>0</v>
      </c>
      <c r="W7" s="53">
        <v>0</v>
      </c>
      <c r="X7" s="10"/>
    </row>
    <row r="8" spans="1:24" ht="12" customHeight="1" x14ac:dyDescent="0.2">
      <c r="A8" s="55" t="s">
        <v>31</v>
      </c>
      <c r="B8" s="51" t="s">
        <v>153</v>
      </c>
      <c r="C8" s="169"/>
      <c r="D8" s="48">
        <v>0</v>
      </c>
      <c r="E8" s="48">
        <v>0</v>
      </c>
      <c r="F8" s="48">
        <v>0</v>
      </c>
      <c r="G8" s="48">
        <v>0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48">
        <v>0</v>
      </c>
      <c r="P8" s="49">
        <v>0</v>
      </c>
      <c r="Q8" s="50">
        <v>0</v>
      </c>
      <c r="R8" s="50">
        <v>0</v>
      </c>
      <c r="S8" s="50">
        <v>0</v>
      </c>
      <c r="T8" s="52">
        <v>0</v>
      </c>
      <c r="U8" s="52">
        <v>0</v>
      </c>
      <c r="V8" s="53">
        <v>0</v>
      </c>
      <c r="W8" s="53">
        <v>0</v>
      </c>
      <c r="X8" s="10"/>
    </row>
    <row r="9" spans="1:24" ht="12" customHeight="1" x14ac:dyDescent="0.2">
      <c r="A9" s="55" t="s">
        <v>32</v>
      </c>
      <c r="B9" s="51" t="s">
        <v>154</v>
      </c>
      <c r="C9" s="169"/>
      <c r="D9" s="48">
        <v>0</v>
      </c>
      <c r="E9" s="48">
        <v>0</v>
      </c>
      <c r="F9" s="48">
        <v>0</v>
      </c>
      <c r="G9" s="48">
        <v>0</v>
      </c>
      <c r="H9" s="48">
        <v>0</v>
      </c>
      <c r="I9" s="48">
        <v>0</v>
      </c>
      <c r="J9" s="48">
        <v>0</v>
      </c>
      <c r="K9" s="48">
        <v>0</v>
      </c>
      <c r="L9" s="48">
        <v>0</v>
      </c>
      <c r="M9" s="48">
        <v>0</v>
      </c>
      <c r="N9" s="48">
        <v>0</v>
      </c>
      <c r="O9" s="48">
        <v>0</v>
      </c>
      <c r="P9" s="49">
        <v>0</v>
      </c>
      <c r="Q9" s="50">
        <v>0</v>
      </c>
      <c r="R9" s="50">
        <v>0</v>
      </c>
      <c r="S9" s="50">
        <v>0</v>
      </c>
      <c r="T9" s="52">
        <v>0</v>
      </c>
      <c r="U9" s="52">
        <v>0</v>
      </c>
      <c r="V9" s="53">
        <v>0</v>
      </c>
      <c r="W9" s="53">
        <v>0</v>
      </c>
      <c r="X9" s="10"/>
    </row>
    <row r="10" spans="1:24" ht="12" customHeight="1" x14ac:dyDescent="0.2">
      <c r="A10" s="55" t="s">
        <v>33</v>
      </c>
      <c r="B10" s="51" t="s">
        <v>155</v>
      </c>
      <c r="C10" s="169"/>
      <c r="D10" s="48">
        <v>0</v>
      </c>
      <c r="E10" s="48">
        <v>0</v>
      </c>
      <c r="F10" s="48">
        <v>0</v>
      </c>
      <c r="G10" s="48">
        <v>0</v>
      </c>
      <c r="H10" s="48">
        <v>0</v>
      </c>
      <c r="I10" s="48">
        <v>0</v>
      </c>
      <c r="J10" s="48">
        <v>0</v>
      </c>
      <c r="K10" s="48">
        <v>0</v>
      </c>
      <c r="L10" s="48">
        <v>0</v>
      </c>
      <c r="M10" s="48">
        <v>0</v>
      </c>
      <c r="N10" s="48">
        <v>0</v>
      </c>
      <c r="O10" s="48">
        <v>0</v>
      </c>
      <c r="P10" s="49">
        <v>0</v>
      </c>
      <c r="Q10" s="50">
        <v>0</v>
      </c>
      <c r="R10" s="50">
        <v>0</v>
      </c>
      <c r="S10" s="50">
        <v>0</v>
      </c>
      <c r="T10" s="52">
        <v>0</v>
      </c>
      <c r="U10" s="52">
        <v>0</v>
      </c>
      <c r="V10" s="53">
        <v>0</v>
      </c>
      <c r="W10" s="53">
        <v>0</v>
      </c>
      <c r="X10" s="10"/>
    </row>
    <row r="11" spans="1:24" ht="12" customHeight="1" x14ac:dyDescent="0.2">
      <c r="A11" s="55" t="s">
        <v>34</v>
      </c>
      <c r="B11" s="51" t="s">
        <v>156</v>
      </c>
      <c r="C11" s="169"/>
      <c r="D11" s="48">
        <v>0</v>
      </c>
      <c r="E11" s="48">
        <v>0</v>
      </c>
      <c r="F11" s="48">
        <v>0</v>
      </c>
      <c r="G11" s="48">
        <v>0</v>
      </c>
      <c r="H11" s="48">
        <v>0</v>
      </c>
      <c r="I11" s="48">
        <v>0</v>
      </c>
      <c r="J11" s="48">
        <v>0</v>
      </c>
      <c r="K11" s="48">
        <v>0</v>
      </c>
      <c r="L11" s="48">
        <v>0</v>
      </c>
      <c r="M11" s="48">
        <v>0</v>
      </c>
      <c r="N11" s="48">
        <v>0</v>
      </c>
      <c r="O11" s="48">
        <v>0</v>
      </c>
      <c r="P11" s="49">
        <v>0</v>
      </c>
      <c r="Q11" s="50">
        <v>0</v>
      </c>
      <c r="R11" s="50">
        <v>0</v>
      </c>
      <c r="S11" s="50">
        <v>0</v>
      </c>
      <c r="T11" s="52">
        <v>0</v>
      </c>
      <c r="U11" s="52">
        <v>0</v>
      </c>
      <c r="V11" s="53">
        <v>0</v>
      </c>
      <c r="W11" s="53">
        <v>0</v>
      </c>
      <c r="X11" s="10"/>
    </row>
    <row r="12" spans="1:24" ht="12" customHeight="1" x14ac:dyDescent="0.2">
      <c r="A12" s="55" t="s">
        <v>35</v>
      </c>
      <c r="B12" s="51" t="s">
        <v>157</v>
      </c>
      <c r="C12" s="169"/>
      <c r="D12" s="48">
        <v>0</v>
      </c>
      <c r="E12" s="48">
        <v>0</v>
      </c>
      <c r="F12" s="48">
        <v>0</v>
      </c>
      <c r="G12" s="48">
        <v>0</v>
      </c>
      <c r="H12" s="48">
        <v>0</v>
      </c>
      <c r="I12" s="48">
        <v>0</v>
      </c>
      <c r="J12" s="48">
        <v>0</v>
      </c>
      <c r="K12" s="48">
        <v>0</v>
      </c>
      <c r="L12" s="48">
        <v>0</v>
      </c>
      <c r="M12" s="48">
        <v>0</v>
      </c>
      <c r="N12" s="48">
        <v>0</v>
      </c>
      <c r="O12" s="48">
        <v>0</v>
      </c>
      <c r="P12" s="49">
        <v>0</v>
      </c>
      <c r="Q12" s="50">
        <v>0</v>
      </c>
      <c r="R12" s="50">
        <v>0</v>
      </c>
      <c r="S12" s="50">
        <v>0</v>
      </c>
      <c r="T12" s="52">
        <v>0</v>
      </c>
      <c r="U12" s="52">
        <v>0</v>
      </c>
      <c r="V12" s="53">
        <v>0</v>
      </c>
      <c r="W12" s="53">
        <v>0</v>
      </c>
      <c r="X12" s="10"/>
    </row>
    <row r="13" spans="1:24" ht="12" customHeight="1" x14ac:dyDescent="0.2">
      <c r="A13" s="55" t="s">
        <v>36</v>
      </c>
      <c r="B13" s="51" t="s">
        <v>158</v>
      </c>
      <c r="C13" s="169"/>
      <c r="D13" s="48">
        <v>0</v>
      </c>
      <c r="E13" s="48">
        <v>0</v>
      </c>
      <c r="F13" s="48">
        <v>0</v>
      </c>
      <c r="G13" s="48">
        <v>0</v>
      </c>
      <c r="H13" s="48">
        <v>0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49">
        <v>0</v>
      </c>
      <c r="Q13" s="50">
        <v>0</v>
      </c>
      <c r="R13" s="50">
        <v>0</v>
      </c>
      <c r="S13" s="50">
        <v>0</v>
      </c>
      <c r="T13" s="52">
        <v>0</v>
      </c>
      <c r="U13" s="52">
        <v>0</v>
      </c>
      <c r="V13" s="53">
        <v>0</v>
      </c>
      <c r="W13" s="53">
        <v>0</v>
      </c>
      <c r="X13" s="10"/>
    </row>
    <row r="14" spans="1:24" ht="12" customHeight="1" x14ac:dyDescent="0.2">
      <c r="A14" s="55" t="s">
        <v>37</v>
      </c>
      <c r="B14" s="51" t="s">
        <v>104</v>
      </c>
      <c r="C14" s="169"/>
      <c r="D14" s="48">
        <v>0</v>
      </c>
      <c r="E14" s="48">
        <v>0</v>
      </c>
      <c r="F14" s="48">
        <v>0</v>
      </c>
      <c r="G14" s="48">
        <v>0</v>
      </c>
      <c r="H14" s="48">
        <v>0</v>
      </c>
      <c r="I14" s="48">
        <v>0</v>
      </c>
      <c r="J14" s="48">
        <v>0</v>
      </c>
      <c r="K14" s="48">
        <v>0</v>
      </c>
      <c r="L14" s="48">
        <v>0</v>
      </c>
      <c r="M14" s="48">
        <v>0</v>
      </c>
      <c r="N14" s="48">
        <v>0</v>
      </c>
      <c r="O14" s="48">
        <v>0</v>
      </c>
      <c r="P14" s="49">
        <v>0</v>
      </c>
      <c r="Q14" s="50">
        <v>0</v>
      </c>
      <c r="R14" s="50">
        <v>0</v>
      </c>
      <c r="S14" s="50">
        <v>0</v>
      </c>
      <c r="T14" s="52">
        <v>0</v>
      </c>
      <c r="U14" s="52">
        <v>0</v>
      </c>
      <c r="V14" s="53">
        <v>0</v>
      </c>
      <c r="W14" s="53">
        <v>0</v>
      </c>
      <c r="X14" s="10"/>
    </row>
    <row r="15" spans="1:24" ht="12" customHeight="1" x14ac:dyDescent="0.2">
      <c r="A15" s="55" t="s">
        <v>38</v>
      </c>
      <c r="B15" s="51" t="s">
        <v>105</v>
      </c>
      <c r="C15" s="169"/>
      <c r="D15" s="48">
        <v>0</v>
      </c>
      <c r="E15" s="48">
        <v>0</v>
      </c>
      <c r="F15" s="48">
        <v>0</v>
      </c>
      <c r="G15" s="48">
        <v>0</v>
      </c>
      <c r="H15" s="48">
        <v>0</v>
      </c>
      <c r="I15" s="48">
        <v>0</v>
      </c>
      <c r="J15" s="48">
        <v>0</v>
      </c>
      <c r="K15" s="48">
        <v>0</v>
      </c>
      <c r="L15" s="48">
        <v>0</v>
      </c>
      <c r="M15" s="48">
        <v>0</v>
      </c>
      <c r="N15" s="48">
        <v>0</v>
      </c>
      <c r="O15" s="48">
        <v>0</v>
      </c>
      <c r="P15" s="49">
        <v>0</v>
      </c>
      <c r="Q15" s="50">
        <v>0</v>
      </c>
      <c r="R15" s="50">
        <v>0</v>
      </c>
      <c r="S15" s="50">
        <v>0</v>
      </c>
      <c r="T15" s="52">
        <v>0</v>
      </c>
      <c r="U15" s="52">
        <v>0</v>
      </c>
      <c r="V15" s="53">
        <v>0</v>
      </c>
      <c r="W15" s="53">
        <v>0</v>
      </c>
      <c r="X15" s="10"/>
    </row>
    <row r="16" spans="1:24" ht="12" customHeight="1" x14ac:dyDescent="0.2">
      <c r="A16" s="55" t="s">
        <v>39</v>
      </c>
      <c r="B16" s="51" t="s">
        <v>159</v>
      </c>
      <c r="C16" s="169"/>
      <c r="D16" s="48">
        <v>0</v>
      </c>
      <c r="E16" s="48">
        <v>0</v>
      </c>
      <c r="F16" s="48">
        <v>0</v>
      </c>
      <c r="G16" s="48">
        <v>0</v>
      </c>
      <c r="H16" s="48">
        <v>0</v>
      </c>
      <c r="I16" s="48">
        <v>0</v>
      </c>
      <c r="J16" s="48">
        <v>0</v>
      </c>
      <c r="K16" s="48">
        <v>0</v>
      </c>
      <c r="L16" s="48">
        <v>0</v>
      </c>
      <c r="M16" s="48">
        <v>0</v>
      </c>
      <c r="N16" s="48">
        <v>0</v>
      </c>
      <c r="O16" s="48">
        <v>0</v>
      </c>
      <c r="P16" s="49">
        <v>0</v>
      </c>
      <c r="Q16" s="50">
        <v>0</v>
      </c>
      <c r="R16" s="50">
        <v>0</v>
      </c>
      <c r="S16" s="50">
        <v>0</v>
      </c>
      <c r="T16" s="52">
        <v>0</v>
      </c>
      <c r="U16" s="52">
        <v>0</v>
      </c>
      <c r="V16" s="53">
        <v>0</v>
      </c>
      <c r="W16" s="53">
        <v>0</v>
      </c>
      <c r="X16" s="10"/>
    </row>
    <row r="17" spans="1:24" ht="12" customHeight="1" x14ac:dyDescent="0.2">
      <c r="A17" s="55" t="s">
        <v>40</v>
      </c>
      <c r="B17" s="51" t="s">
        <v>160</v>
      </c>
      <c r="C17" s="169"/>
      <c r="D17" s="48">
        <v>0</v>
      </c>
      <c r="E17" s="48">
        <v>0</v>
      </c>
      <c r="F17" s="48">
        <v>0</v>
      </c>
      <c r="G17" s="48">
        <v>0</v>
      </c>
      <c r="H17" s="48">
        <v>0</v>
      </c>
      <c r="I17" s="48">
        <v>0</v>
      </c>
      <c r="J17" s="48">
        <v>0</v>
      </c>
      <c r="K17" s="48">
        <v>0</v>
      </c>
      <c r="L17" s="48">
        <v>0</v>
      </c>
      <c r="M17" s="48">
        <v>0</v>
      </c>
      <c r="N17" s="48">
        <v>0</v>
      </c>
      <c r="O17" s="48">
        <v>0</v>
      </c>
      <c r="P17" s="49">
        <v>0</v>
      </c>
      <c r="Q17" s="50">
        <v>0</v>
      </c>
      <c r="R17" s="50">
        <v>0</v>
      </c>
      <c r="S17" s="50">
        <v>0</v>
      </c>
      <c r="T17" s="52">
        <v>0</v>
      </c>
      <c r="U17" s="52">
        <v>0</v>
      </c>
      <c r="V17" s="53">
        <v>0</v>
      </c>
      <c r="W17" s="53">
        <v>0</v>
      </c>
      <c r="X17" s="10"/>
    </row>
    <row r="18" spans="1:24" ht="12" customHeight="1" x14ac:dyDescent="0.2">
      <c r="A18" s="55" t="s">
        <v>41</v>
      </c>
      <c r="B18" s="51" t="s">
        <v>161</v>
      </c>
      <c r="C18" s="169"/>
      <c r="D18" s="48">
        <v>0</v>
      </c>
      <c r="E18" s="48">
        <v>0</v>
      </c>
      <c r="F18" s="48">
        <v>0</v>
      </c>
      <c r="G18" s="48">
        <v>0</v>
      </c>
      <c r="H18" s="48">
        <v>0</v>
      </c>
      <c r="I18" s="48">
        <v>0</v>
      </c>
      <c r="J18" s="48">
        <v>0</v>
      </c>
      <c r="K18" s="48">
        <v>0</v>
      </c>
      <c r="L18" s="48">
        <v>0</v>
      </c>
      <c r="M18" s="48">
        <v>0</v>
      </c>
      <c r="N18" s="48">
        <v>0</v>
      </c>
      <c r="O18" s="48">
        <v>0</v>
      </c>
      <c r="P18" s="49">
        <v>0</v>
      </c>
      <c r="Q18" s="50">
        <v>0</v>
      </c>
      <c r="R18" s="50">
        <v>0</v>
      </c>
      <c r="S18" s="50">
        <v>0</v>
      </c>
      <c r="T18" s="52">
        <v>0</v>
      </c>
      <c r="U18" s="52">
        <v>0</v>
      </c>
      <c r="V18" s="53">
        <v>0</v>
      </c>
      <c r="W18" s="53">
        <v>0</v>
      </c>
      <c r="X18" s="10"/>
    </row>
    <row r="19" spans="1:24" ht="12" customHeight="1" x14ac:dyDescent="0.2">
      <c r="A19" s="55" t="s">
        <v>42</v>
      </c>
      <c r="B19" s="51" t="s">
        <v>162</v>
      </c>
      <c r="C19" s="169"/>
      <c r="D19" s="48">
        <v>0</v>
      </c>
      <c r="E19" s="48">
        <v>0</v>
      </c>
      <c r="F19" s="48">
        <v>0</v>
      </c>
      <c r="G19" s="48">
        <v>0</v>
      </c>
      <c r="H19" s="48">
        <v>0</v>
      </c>
      <c r="I19" s="48">
        <v>0</v>
      </c>
      <c r="J19" s="48">
        <v>0</v>
      </c>
      <c r="K19" s="48">
        <v>0</v>
      </c>
      <c r="L19" s="48">
        <v>0</v>
      </c>
      <c r="M19" s="48">
        <v>0</v>
      </c>
      <c r="N19" s="48">
        <v>0</v>
      </c>
      <c r="O19" s="48">
        <v>0</v>
      </c>
      <c r="P19" s="49">
        <v>0</v>
      </c>
      <c r="Q19" s="50">
        <v>0</v>
      </c>
      <c r="R19" s="50">
        <v>0</v>
      </c>
      <c r="S19" s="50">
        <v>0</v>
      </c>
      <c r="T19" s="52">
        <v>0</v>
      </c>
      <c r="U19" s="52">
        <v>0</v>
      </c>
      <c r="V19" s="53">
        <v>0</v>
      </c>
      <c r="W19" s="53">
        <v>0</v>
      </c>
      <c r="X19" s="10"/>
    </row>
    <row r="20" spans="1:24" ht="12" customHeight="1" x14ac:dyDescent="0.2">
      <c r="A20" s="55" t="s">
        <v>43</v>
      </c>
      <c r="B20" s="51" t="s">
        <v>163</v>
      </c>
      <c r="C20" s="169"/>
      <c r="D20" s="48">
        <v>0</v>
      </c>
      <c r="E20" s="48">
        <v>0</v>
      </c>
      <c r="F20" s="48">
        <v>0</v>
      </c>
      <c r="G20" s="48">
        <v>0</v>
      </c>
      <c r="H20" s="48">
        <v>0</v>
      </c>
      <c r="I20" s="48">
        <v>0</v>
      </c>
      <c r="J20" s="48">
        <v>0</v>
      </c>
      <c r="K20" s="48">
        <v>0</v>
      </c>
      <c r="L20" s="48">
        <v>0</v>
      </c>
      <c r="M20" s="48">
        <v>0</v>
      </c>
      <c r="N20" s="48">
        <v>0</v>
      </c>
      <c r="O20" s="48">
        <v>0</v>
      </c>
      <c r="P20" s="49">
        <v>0</v>
      </c>
      <c r="Q20" s="50">
        <v>0</v>
      </c>
      <c r="R20" s="50">
        <v>0</v>
      </c>
      <c r="S20" s="50">
        <v>0</v>
      </c>
      <c r="T20" s="52">
        <v>0</v>
      </c>
      <c r="U20" s="52">
        <v>0</v>
      </c>
      <c r="V20" s="53">
        <v>0</v>
      </c>
      <c r="W20" s="53">
        <v>0</v>
      </c>
      <c r="X20" s="10"/>
    </row>
    <row r="21" spans="1:24" ht="12" customHeight="1" x14ac:dyDescent="0.2">
      <c r="A21" s="55" t="s">
        <v>44</v>
      </c>
      <c r="B21" s="54" t="s">
        <v>164</v>
      </c>
      <c r="C21" s="169"/>
      <c r="D21" s="48">
        <v>0</v>
      </c>
      <c r="E21" s="48">
        <v>0</v>
      </c>
      <c r="F21" s="48">
        <v>0</v>
      </c>
      <c r="G21" s="48">
        <v>0</v>
      </c>
      <c r="H21" s="48">
        <v>0</v>
      </c>
      <c r="I21" s="48">
        <v>0</v>
      </c>
      <c r="J21" s="48">
        <v>0</v>
      </c>
      <c r="K21" s="48">
        <v>0</v>
      </c>
      <c r="L21" s="48">
        <v>0</v>
      </c>
      <c r="M21" s="48">
        <v>0</v>
      </c>
      <c r="N21" s="48">
        <v>0</v>
      </c>
      <c r="O21" s="48">
        <v>0</v>
      </c>
      <c r="P21" s="49">
        <v>0</v>
      </c>
      <c r="Q21" s="50">
        <v>0</v>
      </c>
      <c r="R21" s="50">
        <v>0</v>
      </c>
      <c r="S21" s="50">
        <v>0</v>
      </c>
      <c r="T21" s="52">
        <v>0</v>
      </c>
      <c r="U21" s="52">
        <v>0</v>
      </c>
      <c r="V21" s="53">
        <v>0</v>
      </c>
      <c r="W21" s="53">
        <v>0</v>
      </c>
      <c r="X21" s="10"/>
    </row>
    <row r="22" spans="1:24" s="39" customFormat="1" ht="12" customHeight="1" x14ac:dyDescent="0.2">
      <c r="A22" s="159" t="s">
        <v>127</v>
      </c>
      <c r="B22" s="159"/>
      <c r="C22" s="170"/>
      <c r="D22" s="34">
        <f t="shared" ref="D22:S22" si="0">SUM(D2:D21)</f>
        <v>0</v>
      </c>
      <c r="E22" s="34">
        <f t="shared" si="0"/>
        <v>0</v>
      </c>
      <c r="F22" s="34">
        <f t="shared" si="0"/>
        <v>0</v>
      </c>
      <c r="G22" s="34">
        <f t="shared" si="0"/>
        <v>0</v>
      </c>
      <c r="H22" s="34">
        <f>SUM(H2:H21)</f>
        <v>0</v>
      </c>
      <c r="I22" s="34">
        <f>SUM(I2:I21)</f>
        <v>0</v>
      </c>
      <c r="J22" s="34">
        <f t="shared" si="0"/>
        <v>0</v>
      </c>
      <c r="K22" s="34">
        <f>SUM(K2:K21)</f>
        <v>0</v>
      </c>
      <c r="L22" s="34">
        <f t="shared" si="0"/>
        <v>0</v>
      </c>
      <c r="M22" s="34">
        <f>SUM(M2:M21)</f>
        <v>0</v>
      </c>
      <c r="N22" s="34">
        <f>SUM(N2:N21)</f>
        <v>0</v>
      </c>
      <c r="O22" s="34">
        <f>SUM(O2:O21)</f>
        <v>0</v>
      </c>
      <c r="P22" s="35">
        <f>SUM(P2:P21)</f>
        <v>0</v>
      </c>
      <c r="Q22" s="34">
        <f t="shared" si="0"/>
        <v>0</v>
      </c>
      <c r="R22" s="34">
        <f t="shared" si="0"/>
        <v>0</v>
      </c>
      <c r="S22" s="34">
        <f t="shared" si="0"/>
        <v>0</v>
      </c>
      <c r="T22" s="36" t="e">
        <f>(E22/F22)</f>
        <v>#DIV/0!</v>
      </c>
      <c r="U22" s="36" t="e">
        <f>(M22/J22)</f>
        <v>#DIV/0!</v>
      </c>
      <c r="V22" s="34" t="e">
        <f>(J22/F22)</f>
        <v>#DIV/0!</v>
      </c>
      <c r="W22" s="37" t="e">
        <f>(J22/S22)</f>
        <v>#DIV/0!</v>
      </c>
      <c r="X22" s="38"/>
    </row>
    <row r="23" spans="1:24" ht="12" customHeight="1" x14ac:dyDescent="0.2">
      <c r="A23" s="55" t="s">
        <v>45</v>
      </c>
      <c r="B23" s="56" t="s">
        <v>165</v>
      </c>
      <c r="C23" s="169"/>
      <c r="D23" s="124">
        <v>0</v>
      </c>
      <c r="E23" s="124">
        <v>0</v>
      </c>
      <c r="F23" s="124">
        <v>0</v>
      </c>
      <c r="G23" s="124">
        <v>0</v>
      </c>
      <c r="H23" s="124">
        <v>0</v>
      </c>
      <c r="I23" s="124">
        <v>0</v>
      </c>
      <c r="J23" s="124">
        <v>0</v>
      </c>
      <c r="K23" s="124">
        <v>0</v>
      </c>
      <c r="L23" s="124">
        <v>0</v>
      </c>
      <c r="M23" s="124">
        <v>0</v>
      </c>
      <c r="N23" s="124">
        <v>0</v>
      </c>
      <c r="O23" s="124">
        <v>0</v>
      </c>
      <c r="P23" s="146">
        <v>0</v>
      </c>
      <c r="Q23" s="147">
        <v>0</v>
      </c>
      <c r="R23" s="147">
        <v>0</v>
      </c>
      <c r="S23" s="147">
        <v>0</v>
      </c>
      <c r="T23" s="126">
        <v>0</v>
      </c>
      <c r="U23" s="126">
        <v>0</v>
      </c>
      <c r="V23" s="125">
        <v>0</v>
      </c>
      <c r="W23" s="125">
        <v>0</v>
      </c>
      <c r="X23" s="10"/>
    </row>
    <row r="24" spans="1:24" ht="12" customHeight="1" x14ac:dyDescent="0.2">
      <c r="A24" s="55" t="s">
        <v>46</v>
      </c>
      <c r="B24" s="51" t="s">
        <v>166</v>
      </c>
      <c r="C24" s="169"/>
      <c r="D24" s="124">
        <v>0</v>
      </c>
      <c r="E24" s="124">
        <v>0</v>
      </c>
      <c r="F24" s="124">
        <v>0</v>
      </c>
      <c r="G24" s="124">
        <v>0</v>
      </c>
      <c r="H24" s="124">
        <v>0</v>
      </c>
      <c r="I24" s="124">
        <v>0</v>
      </c>
      <c r="J24" s="124">
        <v>0</v>
      </c>
      <c r="K24" s="124">
        <v>0</v>
      </c>
      <c r="L24" s="124">
        <v>0</v>
      </c>
      <c r="M24" s="124">
        <v>0</v>
      </c>
      <c r="N24" s="124">
        <v>0</v>
      </c>
      <c r="O24" s="124">
        <v>0</v>
      </c>
      <c r="P24" s="146">
        <v>0</v>
      </c>
      <c r="Q24" s="147">
        <v>0</v>
      </c>
      <c r="R24" s="147">
        <v>0</v>
      </c>
      <c r="S24" s="147">
        <v>0</v>
      </c>
      <c r="T24" s="126">
        <v>0</v>
      </c>
      <c r="U24" s="126">
        <v>0</v>
      </c>
      <c r="V24" s="125">
        <v>0</v>
      </c>
      <c r="W24" s="125">
        <v>0</v>
      </c>
      <c r="X24" s="10"/>
    </row>
    <row r="25" spans="1:24" ht="12" customHeight="1" x14ac:dyDescent="0.2">
      <c r="A25" s="55" t="s">
        <v>47</v>
      </c>
      <c r="B25" s="51" t="s">
        <v>167</v>
      </c>
      <c r="C25" s="169"/>
      <c r="D25" s="124">
        <v>0</v>
      </c>
      <c r="E25" s="124">
        <v>0</v>
      </c>
      <c r="F25" s="124">
        <v>0</v>
      </c>
      <c r="G25" s="124">
        <v>0</v>
      </c>
      <c r="H25" s="124">
        <v>0</v>
      </c>
      <c r="I25" s="124">
        <v>0</v>
      </c>
      <c r="J25" s="124">
        <v>0</v>
      </c>
      <c r="K25" s="124">
        <v>0</v>
      </c>
      <c r="L25" s="124">
        <v>0</v>
      </c>
      <c r="M25" s="124">
        <v>0</v>
      </c>
      <c r="N25" s="124">
        <v>0</v>
      </c>
      <c r="O25" s="124">
        <v>0</v>
      </c>
      <c r="P25" s="146">
        <v>0</v>
      </c>
      <c r="Q25" s="147">
        <v>0</v>
      </c>
      <c r="R25" s="147">
        <v>0</v>
      </c>
      <c r="S25" s="147">
        <v>0</v>
      </c>
      <c r="T25" s="126">
        <v>0</v>
      </c>
      <c r="U25" s="126">
        <v>0</v>
      </c>
      <c r="V25" s="125">
        <v>0</v>
      </c>
      <c r="W25" s="125">
        <v>0</v>
      </c>
      <c r="X25" s="10"/>
    </row>
    <row r="26" spans="1:24" ht="12" customHeight="1" x14ac:dyDescent="0.2">
      <c r="A26" s="55" t="s">
        <v>48</v>
      </c>
      <c r="B26" s="51" t="s">
        <v>168</v>
      </c>
      <c r="C26" s="169"/>
      <c r="D26" s="124">
        <v>0</v>
      </c>
      <c r="E26" s="124">
        <v>0</v>
      </c>
      <c r="F26" s="124">
        <v>0</v>
      </c>
      <c r="G26" s="124">
        <v>0</v>
      </c>
      <c r="H26" s="124">
        <v>0</v>
      </c>
      <c r="I26" s="124">
        <v>0</v>
      </c>
      <c r="J26" s="124">
        <v>0</v>
      </c>
      <c r="K26" s="124">
        <v>0</v>
      </c>
      <c r="L26" s="124">
        <v>0</v>
      </c>
      <c r="M26" s="124">
        <v>0</v>
      </c>
      <c r="N26" s="124">
        <v>0</v>
      </c>
      <c r="O26" s="124">
        <v>0</v>
      </c>
      <c r="P26" s="146">
        <v>0</v>
      </c>
      <c r="Q26" s="147">
        <v>0</v>
      </c>
      <c r="R26" s="147">
        <v>0</v>
      </c>
      <c r="S26" s="147">
        <v>0</v>
      </c>
      <c r="T26" s="126">
        <v>0</v>
      </c>
      <c r="U26" s="126">
        <v>0</v>
      </c>
      <c r="V26" s="125">
        <v>0</v>
      </c>
      <c r="W26" s="125">
        <v>0</v>
      </c>
      <c r="X26" s="10"/>
    </row>
    <row r="27" spans="1:24" ht="12" customHeight="1" x14ac:dyDescent="0.2">
      <c r="A27" s="55" t="s">
        <v>49</v>
      </c>
      <c r="B27" s="51" t="s">
        <v>169</v>
      </c>
      <c r="C27" s="169"/>
      <c r="D27" s="124">
        <v>0</v>
      </c>
      <c r="E27" s="124">
        <v>0</v>
      </c>
      <c r="F27" s="124">
        <v>0</v>
      </c>
      <c r="G27" s="124">
        <v>0</v>
      </c>
      <c r="H27" s="124">
        <v>0</v>
      </c>
      <c r="I27" s="124">
        <v>0</v>
      </c>
      <c r="J27" s="124">
        <v>0</v>
      </c>
      <c r="K27" s="124">
        <v>0</v>
      </c>
      <c r="L27" s="124">
        <v>0</v>
      </c>
      <c r="M27" s="124">
        <v>0</v>
      </c>
      <c r="N27" s="124">
        <v>0</v>
      </c>
      <c r="O27" s="124">
        <v>0</v>
      </c>
      <c r="P27" s="146">
        <v>0</v>
      </c>
      <c r="Q27" s="147">
        <v>0</v>
      </c>
      <c r="R27" s="147">
        <v>0</v>
      </c>
      <c r="S27" s="147">
        <v>0</v>
      </c>
      <c r="T27" s="126">
        <v>0</v>
      </c>
      <c r="U27" s="126">
        <v>0</v>
      </c>
      <c r="V27" s="125">
        <v>0</v>
      </c>
      <c r="W27" s="125">
        <v>0</v>
      </c>
      <c r="X27" s="10"/>
    </row>
    <row r="28" spans="1:24" ht="12" customHeight="1" x14ac:dyDescent="0.2">
      <c r="A28" s="55" t="s">
        <v>50</v>
      </c>
      <c r="B28" s="51" t="s">
        <v>170</v>
      </c>
      <c r="C28" s="169"/>
      <c r="D28" s="124">
        <v>0</v>
      </c>
      <c r="E28" s="124">
        <v>0</v>
      </c>
      <c r="F28" s="124">
        <v>0</v>
      </c>
      <c r="G28" s="124">
        <v>0</v>
      </c>
      <c r="H28" s="124">
        <v>0</v>
      </c>
      <c r="I28" s="124">
        <v>0</v>
      </c>
      <c r="J28" s="124">
        <v>0</v>
      </c>
      <c r="K28" s="124">
        <v>0</v>
      </c>
      <c r="L28" s="124">
        <v>0</v>
      </c>
      <c r="M28" s="124">
        <v>0</v>
      </c>
      <c r="N28" s="124">
        <v>0</v>
      </c>
      <c r="O28" s="124">
        <v>0</v>
      </c>
      <c r="P28" s="146">
        <v>0</v>
      </c>
      <c r="Q28" s="147">
        <v>0</v>
      </c>
      <c r="R28" s="147">
        <v>0</v>
      </c>
      <c r="S28" s="147">
        <v>0</v>
      </c>
      <c r="T28" s="126">
        <v>0</v>
      </c>
      <c r="U28" s="126">
        <v>0</v>
      </c>
      <c r="V28" s="125">
        <v>0</v>
      </c>
      <c r="W28" s="125">
        <v>0</v>
      </c>
      <c r="X28" s="10"/>
    </row>
    <row r="29" spans="1:24" ht="12" customHeight="1" x14ac:dyDescent="0.2">
      <c r="A29" s="55" t="s">
        <v>51</v>
      </c>
      <c r="B29" s="51" t="s">
        <v>171</v>
      </c>
      <c r="C29" s="169"/>
      <c r="D29" s="124">
        <v>0</v>
      </c>
      <c r="E29" s="124">
        <v>0</v>
      </c>
      <c r="F29" s="124">
        <v>0</v>
      </c>
      <c r="G29" s="124">
        <v>0</v>
      </c>
      <c r="H29" s="124">
        <v>0</v>
      </c>
      <c r="I29" s="124">
        <v>0</v>
      </c>
      <c r="J29" s="124">
        <v>0</v>
      </c>
      <c r="K29" s="124">
        <v>0</v>
      </c>
      <c r="L29" s="124">
        <v>0</v>
      </c>
      <c r="M29" s="124">
        <v>0</v>
      </c>
      <c r="N29" s="124">
        <v>0</v>
      </c>
      <c r="O29" s="124">
        <v>0</v>
      </c>
      <c r="P29" s="146">
        <v>0</v>
      </c>
      <c r="Q29" s="147">
        <v>0</v>
      </c>
      <c r="R29" s="147">
        <v>0</v>
      </c>
      <c r="S29" s="147">
        <v>0</v>
      </c>
      <c r="T29" s="126">
        <v>0</v>
      </c>
      <c r="U29" s="126">
        <v>0</v>
      </c>
      <c r="V29" s="125">
        <v>0</v>
      </c>
      <c r="W29" s="125">
        <v>0</v>
      </c>
      <c r="X29" s="10"/>
    </row>
    <row r="30" spans="1:24" ht="12" customHeight="1" x14ac:dyDescent="0.2">
      <c r="A30" s="55" t="s">
        <v>52</v>
      </c>
      <c r="B30" s="51" t="s">
        <v>172</v>
      </c>
      <c r="C30" s="169"/>
      <c r="D30" s="124">
        <v>0</v>
      </c>
      <c r="E30" s="124">
        <v>0</v>
      </c>
      <c r="F30" s="124">
        <v>0</v>
      </c>
      <c r="G30" s="124">
        <v>0</v>
      </c>
      <c r="H30" s="124">
        <v>0</v>
      </c>
      <c r="I30" s="124">
        <v>0</v>
      </c>
      <c r="J30" s="124">
        <v>0</v>
      </c>
      <c r="K30" s="124">
        <v>0</v>
      </c>
      <c r="L30" s="124">
        <v>0</v>
      </c>
      <c r="M30" s="124">
        <v>0</v>
      </c>
      <c r="N30" s="124">
        <v>0</v>
      </c>
      <c r="O30" s="124">
        <v>0</v>
      </c>
      <c r="P30" s="146">
        <v>0</v>
      </c>
      <c r="Q30" s="147">
        <v>0</v>
      </c>
      <c r="R30" s="147">
        <v>0</v>
      </c>
      <c r="S30" s="147">
        <v>0</v>
      </c>
      <c r="T30" s="126">
        <v>0</v>
      </c>
      <c r="U30" s="126">
        <v>0</v>
      </c>
      <c r="V30" s="125">
        <v>0</v>
      </c>
      <c r="W30" s="125">
        <v>0</v>
      </c>
      <c r="X30" s="10"/>
    </row>
    <row r="31" spans="1:24" ht="12" customHeight="1" x14ac:dyDescent="0.2">
      <c r="A31" s="55" t="s">
        <v>53</v>
      </c>
      <c r="B31" s="51" t="s">
        <v>173</v>
      </c>
      <c r="C31" s="169"/>
      <c r="D31" s="124">
        <v>0</v>
      </c>
      <c r="E31" s="124">
        <v>0</v>
      </c>
      <c r="F31" s="124">
        <v>0</v>
      </c>
      <c r="G31" s="124">
        <v>0</v>
      </c>
      <c r="H31" s="124">
        <v>0</v>
      </c>
      <c r="I31" s="124">
        <v>0</v>
      </c>
      <c r="J31" s="124">
        <v>0</v>
      </c>
      <c r="K31" s="124">
        <v>0</v>
      </c>
      <c r="L31" s="124">
        <v>0</v>
      </c>
      <c r="M31" s="124">
        <v>0</v>
      </c>
      <c r="N31" s="124">
        <v>0</v>
      </c>
      <c r="O31" s="124">
        <v>0</v>
      </c>
      <c r="P31" s="146">
        <v>0</v>
      </c>
      <c r="Q31" s="147">
        <v>0</v>
      </c>
      <c r="R31" s="147">
        <v>0</v>
      </c>
      <c r="S31" s="147">
        <v>0</v>
      </c>
      <c r="T31" s="126">
        <v>0</v>
      </c>
      <c r="U31" s="126">
        <v>0</v>
      </c>
      <c r="V31" s="125">
        <v>0</v>
      </c>
      <c r="W31" s="125">
        <v>0</v>
      </c>
      <c r="X31" s="10"/>
    </row>
    <row r="32" spans="1:24" ht="12" customHeight="1" x14ac:dyDescent="0.2">
      <c r="A32" s="55" t="s">
        <v>54</v>
      </c>
      <c r="B32" s="51" t="s">
        <v>174</v>
      </c>
      <c r="C32" s="169"/>
      <c r="D32" s="124">
        <v>0</v>
      </c>
      <c r="E32" s="124">
        <v>0</v>
      </c>
      <c r="F32" s="124">
        <v>0</v>
      </c>
      <c r="G32" s="124">
        <v>0</v>
      </c>
      <c r="H32" s="124">
        <v>0</v>
      </c>
      <c r="I32" s="124">
        <v>0</v>
      </c>
      <c r="J32" s="124">
        <v>0</v>
      </c>
      <c r="K32" s="124">
        <v>0</v>
      </c>
      <c r="L32" s="124">
        <v>0</v>
      </c>
      <c r="M32" s="124">
        <v>0</v>
      </c>
      <c r="N32" s="124">
        <v>0</v>
      </c>
      <c r="O32" s="124">
        <v>0</v>
      </c>
      <c r="P32" s="146">
        <v>0</v>
      </c>
      <c r="Q32" s="147">
        <v>0</v>
      </c>
      <c r="R32" s="147">
        <v>0</v>
      </c>
      <c r="S32" s="147">
        <v>0</v>
      </c>
      <c r="T32" s="126">
        <v>0</v>
      </c>
      <c r="U32" s="126">
        <v>0</v>
      </c>
      <c r="V32" s="125">
        <v>0</v>
      </c>
      <c r="W32" s="125">
        <v>0</v>
      </c>
      <c r="X32" s="10"/>
    </row>
    <row r="33" spans="1:24" ht="12" customHeight="1" x14ac:dyDescent="0.2">
      <c r="A33" s="55" t="s">
        <v>145</v>
      </c>
      <c r="B33" s="51" t="s">
        <v>175</v>
      </c>
      <c r="C33" s="169"/>
      <c r="D33" s="124">
        <v>0</v>
      </c>
      <c r="E33" s="124">
        <v>0</v>
      </c>
      <c r="F33" s="124">
        <v>0</v>
      </c>
      <c r="G33" s="124">
        <v>0</v>
      </c>
      <c r="H33" s="124">
        <v>0</v>
      </c>
      <c r="I33" s="124">
        <v>0</v>
      </c>
      <c r="J33" s="124">
        <v>0</v>
      </c>
      <c r="K33" s="124">
        <v>0</v>
      </c>
      <c r="L33" s="124">
        <v>0</v>
      </c>
      <c r="M33" s="124">
        <v>0</v>
      </c>
      <c r="N33" s="124">
        <v>0</v>
      </c>
      <c r="O33" s="124">
        <v>0</v>
      </c>
      <c r="P33" s="146">
        <v>0</v>
      </c>
      <c r="Q33" s="147">
        <v>0</v>
      </c>
      <c r="R33" s="147">
        <v>0</v>
      </c>
      <c r="S33" s="147">
        <v>0</v>
      </c>
      <c r="T33" s="126">
        <v>0</v>
      </c>
      <c r="U33" s="126">
        <v>0</v>
      </c>
      <c r="V33" s="125">
        <v>0</v>
      </c>
      <c r="W33" s="125">
        <v>0</v>
      </c>
      <c r="X33" s="10"/>
    </row>
    <row r="34" spans="1:24" ht="12" customHeight="1" x14ac:dyDescent="0.2">
      <c r="A34" s="55" t="s">
        <v>55</v>
      </c>
      <c r="B34" s="54" t="s">
        <v>176</v>
      </c>
      <c r="C34" s="169"/>
      <c r="D34" s="124">
        <v>0</v>
      </c>
      <c r="E34" s="124">
        <v>0</v>
      </c>
      <c r="F34" s="124">
        <v>0</v>
      </c>
      <c r="G34" s="124">
        <v>0</v>
      </c>
      <c r="H34" s="124">
        <v>0</v>
      </c>
      <c r="I34" s="124">
        <v>0</v>
      </c>
      <c r="J34" s="124">
        <v>0</v>
      </c>
      <c r="K34" s="124">
        <v>0</v>
      </c>
      <c r="L34" s="124">
        <v>0</v>
      </c>
      <c r="M34" s="124">
        <v>0</v>
      </c>
      <c r="N34" s="124">
        <v>0</v>
      </c>
      <c r="O34" s="124">
        <v>0</v>
      </c>
      <c r="P34" s="146">
        <v>0</v>
      </c>
      <c r="Q34" s="147">
        <v>0</v>
      </c>
      <c r="R34" s="147">
        <v>0</v>
      </c>
      <c r="S34" s="147">
        <v>0</v>
      </c>
      <c r="T34" s="126">
        <v>0</v>
      </c>
      <c r="U34" s="126">
        <v>0</v>
      </c>
      <c r="V34" s="125">
        <v>0</v>
      </c>
      <c r="W34" s="125">
        <v>0</v>
      </c>
      <c r="X34" s="10"/>
    </row>
    <row r="35" spans="1:24" s="39" customFormat="1" ht="12" customHeight="1" x14ac:dyDescent="0.2">
      <c r="A35" s="168" t="s">
        <v>128</v>
      </c>
      <c r="B35" s="168"/>
      <c r="C35" s="170"/>
      <c r="D35" s="34">
        <f t="shared" ref="D35:S35" si="1">SUM(D23:D34)</f>
        <v>0</v>
      </c>
      <c r="E35" s="34">
        <f t="shared" si="1"/>
        <v>0</v>
      </c>
      <c r="F35" s="34">
        <f>SUM(F23:F34)</f>
        <v>0</v>
      </c>
      <c r="G35" s="34">
        <f t="shared" si="1"/>
        <v>0</v>
      </c>
      <c r="H35" s="34">
        <f>SUM(H23:H34)</f>
        <v>0</v>
      </c>
      <c r="I35" s="34">
        <f>SUM(I23:I34)</f>
        <v>0</v>
      </c>
      <c r="J35" s="34">
        <f t="shared" si="1"/>
        <v>0</v>
      </c>
      <c r="K35" s="34">
        <f>SUM(K23:K34)</f>
        <v>0</v>
      </c>
      <c r="L35" s="34">
        <f t="shared" si="1"/>
        <v>0</v>
      </c>
      <c r="M35" s="34">
        <f>SUM(M23:M34)</f>
        <v>0</v>
      </c>
      <c r="N35" s="34">
        <f>SUM(N23:N34)</f>
        <v>0</v>
      </c>
      <c r="O35" s="34">
        <f>SUM(O23:O34)</f>
        <v>0</v>
      </c>
      <c r="P35" s="35">
        <f>SUM(P23:P34)</f>
        <v>0</v>
      </c>
      <c r="Q35" s="34">
        <f t="shared" si="1"/>
        <v>0</v>
      </c>
      <c r="R35" s="34">
        <f t="shared" si="1"/>
        <v>0</v>
      </c>
      <c r="S35" s="34">
        <f t="shared" si="1"/>
        <v>0</v>
      </c>
      <c r="T35" s="40" t="e">
        <f>(E35/F35)</f>
        <v>#DIV/0!</v>
      </c>
      <c r="U35" s="40" t="e">
        <f>(M35/J35)</f>
        <v>#DIV/0!</v>
      </c>
      <c r="V35" s="41" t="e">
        <f>(J35/F35)</f>
        <v>#DIV/0!</v>
      </c>
      <c r="W35" s="42" t="e">
        <f>(J35/S35)</f>
        <v>#DIV/0!</v>
      </c>
      <c r="X35" s="38"/>
    </row>
    <row r="36" spans="1:24" ht="12" customHeight="1" x14ac:dyDescent="0.2">
      <c r="A36" s="127" t="s">
        <v>7</v>
      </c>
      <c r="B36" s="128" t="s">
        <v>8</v>
      </c>
      <c r="C36" s="171">
        <v>0</v>
      </c>
      <c r="D36" s="129">
        <v>0</v>
      </c>
      <c r="E36" s="130">
        <v>0</v>
      </c>
      <c r="F36" s="129">
        <v>0</v>
      </c>
      <c r="G36" s="129">
        <v>0</v>
      </c>
      <c r="H36" s="129">
        <v>0</v>
      </c>
      <c r="I36" s="129">
        <v>0</v>
      </c>
      <c r="J36" s="129">
        <v>0</v>
      </c>
      <c r="K36" s="129">
        <v>0</v>
      </c>
      <c r="L36" s="129">
        <v>0</v>
      </c>
      <c r="M36" s="129">
        <v>0</v>
      </c>
      <c r="N36" s="129">
        <v>0</v>
      </c>
      <c r="O36" s="129">
        <v>0</v>
      </c>
      <c r="P36" s="131">
        <v>0</v>
      </c>
      <c r="Q36" s="132">
        <v>0</v>
      </c>
      <c r="R36" s="133">
        <v>0</v>
      </c>
      <c r="S36" s="133">
        <v>0</v>
      </c>
      <c r="T36" s="134">
        <v>0</v>
      </c>
      <c r="U36" s="134">
        <v>0</v>
      </c>
      <c r="V36" s="133">
        <v>0</v>
      </c>
      <c r="W36" s="135">
        <v>0</v>
      </c>
      <c r="X36" s="10"/>
    </row>
    <row r="37" spans="1:24" ht="12" customHeight="1" x14ac:dyDescent="0.2">
      <c r="A37" s="137" t="s">
        <v>9</v>
      </c>
      <c r="B37" s="138" t="s">
        <v>10</v>
      </c>
      <c r="C37" s="172">
        <v>0</v>
      </c>
      <c r="D37" s="139">
        <v>0</v>
      </c>
      <c r="E37" s="140">
        <v>0</v>
      </c>
      <c r="F37" s="139">
        <v>0</v>
      </c>
      <c r="G37" s="139">
        <v>0</v>
      </c>
      <c r="H37" s="139">
        <v>0</v>
      </c>
      <c r="I37" s="139">
        <v>0</v>
      </c>
      <c r="J37" s="139">
        <v>0</v>
      </c>
      <c r="K37" s="139">
        <v>0</v>
      </c>
      <c r="L37" s="139">
        <v>0</v>
      </c>
      <c r="M37" s="139">
        <v>0</v>
      </c>
      <c r="N37" s="139">
        <v>0</v>
      </c>
      <c r="O37" s="139">
        <v>0</v>
      </c>
      <c r="P37" s="141">
        <v>0</v>
      </c>
      <c r="Q37" s="142">
        <v>0</v>
      </c>
      <c r="R37" s="143">
        <v>0</v>
      </c>
      <c r="S37" s="143">
        <v>0</v>
      </c>
      <c r="T37" s="144">
        <v>0</v>
      </c>
      <c r="U37" s="144">
        <v>0</v>
      </c>
      <c r="V37" s="139">
        <v>0</v>
      </c>
      <c r="W37" s="145">
        <v>0</v>
      </c>
      <c r="X37" s="11"/>
    </row>
    <row r="38" spans="1:24" ht="12" customHeight="1" x14ac:dyDescent="0.2">
      <c r="A38" s="55" t="s">
        <v>178</v>
      </c>
      <c r="B38" s="51" t="s">
        <v>177</v>
      </c>
      <c r="C38" s="169"/>
      <c r="D38" s="48">
        <v>0</v>
      </c>
      <c r="E38" s="48">
        <v>0</v>
      </c>
      <c r="F38" s="48">
        <v>0</v>
      </c>
      <c r="G38" s="48">
        <v>0</v>
      </c>
      <c r="H38" s="48">
        <v>0</v>
      </c>
      <c r="I38" s="48">
        <v>0</v>
      </c>
      <c r="J38" s="48">
        <v>0</v>
      </c>
      <c r="K38" s="48">
        <v>0</v>
      </c>
      <c r="L38" s="48">
        <v>0</v>
      </c>
      <c r="M38" s="48">
        <v>0</v>
      </c>
      <c r="N38" s="48">
        <v>0</v>
      </c>
      <c r="O38" s="48">
        <v>0</v>
      </c>
      <c r="P38" s="49">
        <v>0</v>
      </c>
      <c r="Q38" s="50">
        <v>0</v>
      </c>
      <c r="R38" s="50">
        <v>0</v>
      </c>
      <c r="S38" s="50">
        <v>0</v>
      </c>
      <c r="T38" s="52">
        <v>0</v>
      </c>
      <c r="U38" s="52">
        <v>0</v>
      </c>
      <c r="V38" s="53">
        <v>0</v>
      </c>
      <c r="W38" s="53">
        <v>0</v>
      </c>
      <c r="X38" s="11"/>
    </row>
    <row r="39" spans="1:24" ht="12" customHeight="1" x14ac:dyDescent="0.2">
      <c r="A39" s="55" t="s">
        <v>11</v>
      </c>
      <c r="B39" s="51" t="s">
        <v>12</v>
      </c>
      <c r="C39" s="169"/>
      <c r="D39" s="48">
        <v>0</v>
      </c>
      <c r="E39" s="48">
        <v>0</v>
      </c>
      <c r="F39" s="48">
        <v>0</v>
      </c>
      <c r="G39" s="48">
        <v>0</v>
      </c>
      <c r="H39" s="48">
        <v>0</v>
      </c>
      <c r="I39" s="48">
        <v>0</v>
      </c>
      <c r="J39" s="48">
        <v>0</v>
      </c>
      <c r="K39" s="48">
        <v>0</v>
      </c>
      <c r="L39" s="48">
        <v>0</v>
      </c>
      <c r="M39" s="48">
        <v>0</v>
      </c>
      <c r="N39" s="48">
        <v>0</v>
      </c>
      <c r="O39" s="48">
        <v>0</v>
      </c>
      <c r="P39" s="49">
        <v>0</v>
      </c>
      <c r="Q39" s="50">
        <v>0</v>
      </c>
      <c r="R39" s="50">
        <v>0</v>
      </c>
      <c r="S39" s="50">
        <v>0</v>
      </c>
      <c r="T39" s="52">
        <v>0</v>
      </c>
      <c r="U39" s="52">
        <v>0</v>
      </c>
      <c r="V39" s="53">
        <v>0</v>
      </c>
      <c r="W39" s="53">
        <v>0</v>
      </c>
      <c r="X39" s="11"/>
    </row>
    <row r="40" spans="1:24" ht="12" customHeight="1" x14ac:dyDescent="0.2">
      <c r="A40" s="55" t="s">
        <v>13</v>
      </c>
      <c r="B40" s="51" t="s">
        <v>14</v>
      </c>
      <c r="C40" s="169"/>
      <c r="D40" s="48">
        <v>0</v>
      </c>
      <c r="E40" s="48">
        <v>0</v>
      </c>
      <c r="F40" s="48">
        <v>0</v>
      </c>
      <c r="G40" s="48">
        <v>0</v>
      </c>
      <c r="H40" s="48">
        <v>0</v>
      </c>
      <c r="I40" s="48">
        <v>0</v>
      </c>
      <c r="J40" s="48">
        <v>0</v>
      </c>
      <c r="K40" s="48">
        <v>0</v>
      </c>
      <c r="L40" s="48">
        <v>0</v>
      </c>
      <c r="M40" s="48">
        <v>0</v>
      </c>
      <c r="N40" s="48">
        <v>0</v>
      </c>
      <c r="O40" s="48">
        <v>0</v>
      </c>
      <c r="P40" s="49">
        <v>0</v>
      </c>
      <c r="Q40" s="50">
        <v>0</v>
      </c>
      <c r="R40" s="50">
        <v>0</v>
      </c>
      <c r="S40" s="50">
        <v>0</v>
      </c>
      <c r="T40" s="52">
        <v>0</v>
      </c>
      <c r="U40" s="52">
        <v>0</v>
      </c>
      <c r="V40" s="53">
        <v>0</v>
      </c>
      <c r="W40" s="53">
        <v>0</v>
      </c>
      <c r="X40" s="11"/>
    </row>
    <row r="41" spans="1:24" ht="12" customHeight="1" x14ac:dyDescent="0.2">
      <c r="A41" s="55" t="s">
        <v>15</v>
      </c>
      <c r="B41" s="51" t="s">
        <v>16</v>
      </c>
      <c r="C41" s="169"/>
      <c r="D41" s="48">
        <v>0</v>
      </c>
      <c r="E41" s="48">
        <v>0</v>
      </c>
      <c r="F41" s="48">
        <v>0</v>
      </c>
      <c r="G41" s="48">
        <v>0</v>
      </c>
      <c r="H41" s="48">
        <v>0</v>
      </c>
      <c r="I41" s="48">
        <v>0</v>
      </c>
      <c r="J41" s="48">
        <v>0</v>
      </c>
      <c r="K41" s="48">
        <v>0</v>
      </c>
      <c r="L41" s="48">
        <v>0</v>
      </c>
      <c r="M41" s="48">
        <v>0</v>
      </c>
      <c r="N41" s="48">
        <v>0</v>
      </c>
      <c r="O41" s="48">
        <v>0</v>
      </c>
      <c r="P41" s="49">
        <v>0</v>
      </c>
      <c r="Q41" s="50">
        <v>0</v>
      </c>
      <c r="R41" s="50">
        <v>0</v>
      </c>
      <c r="S41" s="50">
        <v>0</v>
      </c>
      <c r="T41" s="52">
        <v>0</v>
      </c>
      <c r="U41" s="52">
        <v>0</v>
      </c>
      <c r="V41" s="53">
        <v>0</v>
      </c>
      <c r="W41" s="53">
        <v>0</v>
      </c>
      <c r="X41" s="11"/>
    </row>
    <row r="42" spans="1:24" ht="12" customHeight="1" x14ac:dyDescent="0.2">
      <c r="A42" s="55" t="s">
        <v>17</v>
      </c>
      <c r="B42" s="51" t="s">
        <v>18</v>
      </c>
      <c r="C42" s="169"/>
      <c r="D42" s="48">
        <v>0</v>
      </c>
      <c r="E42" s="48">
        <v>0</v>
      </c>
      <c r="F42" s="48">
        <v>0</v>
      </c>
      <c r="G42" s="48">
        <v>0</v>
      </c>
      <c r="H42" s="48">
        <v>0</v>
      </c>
      <c r="I42" s="48">
        <v>0</v>
      </c>
      <c r="J42" s="48">
        <v>0</v>
      </c>
      <c r="K42" s="48">
        <v>0</v>
      </c>
      <c r="L42" s="48">
        <v>0</v>
      </c>
      <c r="M42" s="48">
        <v>0</v>
      </c>
      <c r="N42" s="48">
        <v>0</v>
      </c>
      <c r="O42" s="48">
        <v>0</v>
      </c>
      <c r="P42" s="49">
        <v>0</v>
      </c>
      <c r="Q42" s="50">
        <v>0</v>
      </c>
      <c r="R42" s="50">
        <v>0</v>
      </c>
      <c r="S42" s="50">
        <v>0</v>
      </c>
      <c r="T42" s="52">
        <v>0</v>
      </c>
      <c r="U42" s="52">
        <v>0</v>
      </c>
      <c r="V42" s="53">
        <v>0</v>
      </c>
      <c r="W42" s="53">
        <v>0</v>
      </c>
      <c r="X42" s="11"/>
    </row>
    <row r="43" spans="1:24" ht="12" customHeight="1" x14ac:dyDescent="0.2">
      <c r="A43" s="55" t="s">
        <v>19</v>
      </c>
      <c r="B43" s="51" t="s">
        <v>20</v>
      </c>
      <c r="C43" s="169"/>
      <c r="D43" s="48">
        <v>0</v>
      </c>
      <c r="E43" s="48">
        <v>0</v>
      </c>
      <c r="F43" s="48">
        <v>0</v>
      </c>
      <c r="G43" s="48">
        <v>0</v>
      </c>
      <c r="H43" s="48">
        <v>0</v>
      </c>
      <c r="I43" s="48">
        <v>0</v>
      </c>
      <c r="J43" s="48">
        <v>0</v>
      </c>
      <c r="K43" s="48">
        <v>0</v>
      </c>
      <c r="L43" s="48">
        <v>0</v>
      </c>
      <c r="M43" s="48">
        <v>0</v>
      </c>
      <c r="N43" s="48">
        <v>0</v>
      </c>
      <c r="O43" s="48">
        <v>0</v>
      </c>
      <c r="P43" s="49">
        <v>0</v>
      </c>
      <c r="Q43" s="50">
        <v>0</v>
      </c>
      <c r="R43" s="50">
        <v>0</v>
      </c>
      <c r="S43" s="50">
        <v>0</v>
      </c>
      <c r="T43" s="52">
        <v>0</v>
      </c>
      <c r="U43" s="52">
        <v>0</v>
      </c>
      <c r="V43" s="53">
        <v>0</v>
      </c>
      <c r="W43" s="53">
        <v>0</v>
      </c>
      <c r="X43" s="11"/>
    </row>
    <row r="44" spans="1:24" ht="12" customHeight="1" x14ac:dyDescent="0.2">
      <c r="A44" s="55" t="s">
        <v>181</v>
      </c>
      <c r="B44" s="51" t="s">
        <v>21</v>
      </c>
      <c r="C44" s="169"/>
      <c r="D44" s="48">
        <v>0</v>
      </c>
      <c r="E44" s="48">
        <v>0</v>
      </c>
      <c r="F44" s="48">
        <v>0</v>
      </c>
      <c r="G44" s="48">
        <v>0</v>
      </c>
      <c r="H44" s="48">
        <v>0</v>
      </c>
      <c r="I44" s="48">
        <v>0</v>
      </c>
      <c r="J44" s="48">
        <v>0</v>
      </c>
      <c r="K44" s="48">
        <v>0</v>
      </c>
      <c r="L44" s="48">
        <v>0</v>
      </c>
      <c r="M44" s="48">
        <v>0</v>
      </c>
      <c r="N44" s="48">
        <v>0</v>
      </c>
      <c r="O44" s="48">
        <v>0</v>
      </c>
      <c r="P44" s="49">
        <v>0</v>
      </c>
      <c r="Q44" s="50">
        <v>0</v>
      </c>
      <c r="R44" s="50">
        <v>0</v>
      </c>
      <c r="S44" s="50">
        <v>0</v>
      </c>
      <c r="T44" s="52">
        <v>0</v>
      </c>
      <c r="U44" s="52">
        <v>0</v>
      </c>
      <c r="V44" s="53">
        <v>0</v>
      </c>
      <c r="W44" s="53">
        <v>0</v>
      </c>
      <c r="X44" s="11"/>
    </row>
    <row r="45" spans="1:24" ht="12" customHeight="1" x14ac:dyDescent="0.2">
      <c r="A45" s="55" t="s">
        <v>179</v>
      </c>
      <c r="B45" s="51" t="s">
        <v>180</v>
      </c>
      <c r="C45" s="169"/>
      <c r="D45" s="48">
        <v>0</v>
      </c>
      <c r="E45" s="48">
        <v>0</v>
      </c>
      <c r="F45" s="48">
        <v>0</v>
      </c>
      <c r="G45" s="48">
        <v>0</v>
      </c>
      <c r="H45" s="48">
        <v>0</v>
      </c>
      <c r="I45" s="48">
        <v>0</v>
      </c>
      <c r="J45" s="48">
        <v>0</v>
      </c>
      <c r="K45" s="48">
        <v>0</v>
      </c>
      <c r="L45" s="48">
        <v>0</v>
      </c>
      <c r="M45" s="48">
        <v>0</v>
      </c>
      <c r="N45" s="48">
        <v>0</v>
      </c>
      <c r="O45" s="48">
        <v>0</v>
      </c>
      <c r="P45" s="49">
        <v>0</v>
      </c>
      <c r="Q45" s="50">
        <v>0</v>
      </c>
      <c r="R45" s="50">
        <v>0</v>
      </c>
      <c r="S45" s="50">
        <v>0</v>
      </c>
      <c r="T45" s="52">
        <v>0</v>
      </c>
      <c r="U45" s="52">
        <v>0</v>
      </c>
      <c r="V45" s="53">
        <v>0</v>
      </c>
      <c r="W45" s="53">
        <v>0</v>
      </c>
      <c r="X45" s="11"/>
    </row>
    <row r="46" spans="1:24" ht="12" customHeight="1" x14ac:dyDescent="0.2">
      <c r="A46" s="55" t="s">
        <v>195</v>
      </c>
      <c r="B46" s="51" t="s">
        <v>196</v>
      </c>
      <c r="C46" s="169"/>
      <c r="D46" s="48">
        <v>0</v>
      </c>
      <c r="E46" s="48">
        <v>0</v>
      </c>
      <c r="F46" s="48">
        <v>0</v>
      </c>
      <c r="G46" s="48">
        <v>0</v>
      </c>
      <c r="H46" s="48">
        <v>0</v>
      </c>
      <c r="I46" s="48">
        <v>0</v>
      </c>
      <c r="J46" s="48">
        <v>0</v>
      </c>
      <c r="K46" s="48">
        <v>0</v>
      </c>
      <c r="L46" s="48">
        <v>0</v>
      </c>
      <c r="M46" s="48">
        <v>0</v>
      </c>
      <c r="N46" s="48">
        <v>0</v>
      </c>
      <c r="O46" s="48">
        <v>0</v>
      </c>
      <c r="P46" s="49">
        <v>0</v>
      </c>
      <c r="Q46" s="50">
        <v>0</v>
      </c>
      <c r="R46" s="50">
        <v>0</v>
      </c>
      <c r="S46" s="50">
        <v>0</v>
      </c>
      <c r="T46" s="52">
        <v>0</v>
      </c>
      <c r="U46" s="52">
        <v>0</v>
      </c>
      <c r="V46" s="53">
        <v>0</v>
      </c>
      <c r="W46" s="53">
        <v>0</v>
      </c>
      <c r="X46" s="11"/>
    </row>
    <row r="47" spans="1:24" ht="12" customHeight="1" x14ac:dyDescent="0.2">
      <c r="A47" s="55" t="s">
        <v>22</v>
      </c>
      <c r="B47" s="51" t="s">
        <v>23</v>
      </c>
      <c r="C47" s="169"/>
      <c r="D47" s="48">
        <v>0</v>
      </c>
      <c r="E47" s="48">
        <v>0</v>
      </c>
      <c r="F47" s="48">
        <v>0</v>
      </c>
      <c r="G47" s="48">
        <v>0</v>
      </c>
      <c r="H47" s="48">
        <v>0</v>
      </c>
      <c r="I47" s="48">
        <v>0</v>
      </c>
      <c r="J47" s="48">
        <v>0</v>
      </c>
      <c r="K47" s="48">
        <v>0</v>
      </c>
      <c r="L47" s="48">
        <v>0</v>
      </c>
      <c r="M47" s="48">
        <v>0</v>
      </c>
      <c r="N47" s="48">
        <v>0</v>
      </c>
      <c r="O47" s="48">
        <v>0</v>
      </c>
      <c r="P47" s="49">
        <v>0</v>
      </c>
      <c r="Q47" s="50">
        <v>0</v>
      </c>
      <c r="R47" s="50">
        <v>0</v>
      </c>
      <c r="S47" s="50">
        <v>0</v>
      </c>
      <c r="T47" s="52">
        <v>0</v>
      </c>
      <c r="U47" s="52">
        <v>0</v>
      </c>
      <c r="V47" s="53">
        <v>0</v>
      </c>
      <c r="W47" s="53">
        <v>0</v>
      </c>
      <c r="X47" s="11"/>
    </row>
    <row r="48" spans="1:24" s="39" customFormat="1" ht="12" customHeight="1" x14ac:dyDescent="0.2">
      <c r="A48" s="159" t="s">
        <v>129</v>
      </c>
      <c r="B48" s="159"/>
      <c r="C48" s="173"/>
      <c r="D48" s="118">
        <f t="shared" ref="D48:S48" si="2">SUM(D36:D47)</f>
        <v>0</v>
      </c>
      <c r="E48" s="118">
        <f t="shared" si="2"/>
        <v>0</v>
      </c>
      <c r="F48" s="118">
        <f t="shared" si="2"/>
        <v>0</v>
      </c>
      <c r="G48" s="118">
        <f t="shared" si="2"/>
        <v>0</v>
      </c>
      <c r="H48" s="118">
        <f t="shared" si="2"/>
        <v>0</v>
      </c>
      <c r="I48" s="118">
        <f t="shared" si="2"/>
        <v>0</v>
      </c>
      <c r="J48" s="118">
        <f t="shared" si="2"/>
        <v>0</v>
      </c>
      <c r="K48" s="118">
        <f t="shared" si="2"/>
        <v>0</v>
      </c>
      <c r="L48" s="118">
        <f t="shared" si="2"/>
        <v>0</v>
      </c>
      <c r="M48" s="118">
        <f t="shared" si="2"/>
        <v>0</v>
      </c>
      <c r="N48" s="118">
        <f t="shared" si="2"/>
        <v>0</v>
      </c>
      <c r="O48" s="118">
        <f t="shared" si="2"/>
        <v>0</v>
      </c>
      <c r="P48" s="35">
        <f t="shared" si="2"/>
        <v>0</v>
      </c>
      <c r="Q48" s="118">
        <f t="shared" si="2"/>
        <v>0</v>
      </c>
      <c r="R48" s="118">
        <f t="shared" si="2"/>
        <v>0</v>
      </c>
      <c r="S48" s="118">
        <f t="shared" si="2"/>
        <v>0</v>
      </c>
      <c r="T48" s="119" t="e">
        <f>(E48/F48)</f>
        <v>#DIV/0!</v>
      </c>
      <c r="U48" s="120" t="e">
        <f>(M48/J48)</f>
        <v>#DIV/0!</v>
      </c>
      <c r="V48" s="121" t="e">
        <f>(J48/F48)</f>
        <v>#DIV/0!</v>
      </c>
      <c r="W48" s="121" t="e">
        <f>(J48/S48)</f>
        <v>#DIV/0!</v>
      </c>
      <c r="X48" s="38"/>
    </row>
    <row r="49" spans="1:24" s="39" customFormat="1" ht="12" customHeight="1" x14ac:dyDescent="0.2">
      <c r="A49" s="160" t="s">
        <v>130</v>
      </c>
      <c r="B49" s="160"/>
      <c r="C49" s="43"/>
      <c r="D49" s="44">
        <f t="shared" ref="D49:S49" si="3">(D22+D35+D48)</f>
        <v>0</v>
      </c>
      <c r="E49" s="44">
        <f t="shared" si="3"/>
        <v>0</v>
      </c>
      <c r="F49" s="44">
        <f t="shared" si="3"/>
        <v>0</v>
      </c>
      <c r="G49" s="44">
        <f t="shared" si="3"/>
        <v>0</v>
      </c>
      <c r="H49" s="44">
        <f t="shared" si="3"/>
        <v>0</v>
      </c>
      <c r="I49" s="44">
        <f t="shared" si="3"/>
        <v>0</v>
      </c>
      <c r="J49" s="44">
        <f t="shared" si="3"/>
        <v>0</v>
      </c>
      <c r="K49" s="44">
        <f t="shared" si="3"/>
        <v>0</v>
      </c>
      <c r="L49" s="44">
        <f t="shared" si="3"/>
        <v>0</v>
      </c>
      <c r="M49" s="44">
        <f t="shared" si="3"/>
        <v>0</v>
      </c>
      <c r="N49" s="44">
        <f t="shared" si="3"/>
        <v>0</v>
      </c>
      <c r="O49" s="44">
        <f t="shared" si="3"/>
        <v>0</v>
      </c>
      <c r="P49" s="45">
        <f t="shared" si="3"/>
        <v>0</v>
      </c>
      <c r="Q49" s="44">
        <f t="shared" si="3"/>
        <v>0</v>
      </c>
      <c r="R49" s="44">
        <f t="shared" si="3"/>
        <v>0</v>
      </c>
      <c r="S49" s="44">
        <f t="shared" si="3"/>
        <v>0</v>
      </c>
      <c r="T49" s="46" t="e">
        <f>+E49/F49</f>
        <v>#DIV/0!</v>
      </c>
      <c r="U49" s="46" t="e">
        <f>+M49/J49</f>
        <v>#DIV/0!</v>
      </c>
      <c r="V49" s="47" t="e">
        <f>+J49/F49</f>
        <v>#DIV/0!</v>
      </c>
      <c r="W49" s="47" t="e">
        <f>+J49/S49</f>
        <v>#DIV/0!</v>
      </c>
      <c r="X49" s="38"/>
    </row>
    <row r="50" spans="1:24" x14ac:dyDescent="0.2">
      <c r="G50" s="10"/>
      <c r="I50" s="10"/>
      <c r="M50" s="10"/>
    </row>
    <row r="51" spans="1:24" x14ac:dyDescent="0.2">
      <c r="J51" s="10"/>
      <c r="M51" s="10"/>
      <c r="N51" s="10"/>
      <c r="O51" s="10"/>
      <c r="S51" s="12"/>
    </row>
    <row r="52" spans="1:24" ht="15" x14ac:dyDescent="0.25">
      <c r="B52" s="157" t="s">
        <v>131</v>
      </c>
      <c r="C52" s="157"/>
      <c r="D52" s="13">
        <f>(J48)</f>
        <v>0</v>
      </c>
      <c r="H52"/>
      <c r="I52"/>
      <c r="J52"/>
      <c r="K52" s="14"/>
      <c r="L52"/>
      <c r="M52" s="10"/>
      <c r="N52"/>
      <c r="O52"/>
      <c r="P52"/>
      <c r="Q52"/>
    </row>
    <row r="53" spans="1:24" ht="15" x14ac:dyDescent="0.25">
      <c r="B53" s="158" t="s">
        <v>132</v>
      </c>
      <c r="C53" s="158"/>
      <c r="D53" s="13">
        <f>(I48)</f>
        <v>0</v>
      </c>
      <c r="H53"/>
      <c r="I53"/>
      <c r="J53"/>
      <c r="K53"/>
      <c r="L53"/>
      <c r="M53" s="10"/>
      <c r="N53" s="14"/>
      <c r="O53"/>
      <c r="P53"/>
      <c r="Q53"/>
    </row>
    <row r="54" spans="1:24" ht="15" x14ac:dyDescent="0.25">
      <c r="B54" s="157" t="s">
        <v>133</v>
      </c>
      <c r="C54" s="157"/>
      <c r="D54" s="13">
        <f>(I22+I35)</f>
        <v>0</v>
      </c>
      <c r="H54"/>
      <c r="I54"/>
      <c r="J54"/>
      <c r="K54"/>
      <c r="L54"/>
      <c r="M54" s="10"/>
      <c r="N54" s="14"/>
      <c r="O54"/>
      <c r="P54"/>
      <c r="Q54"/>
    </row>
    <row r="55" spans="1:24" ht="15.75" thickBot="1" x14ac:dyDescent="0.3">
      <c r="B55"/>
      <c r="C55"/>
      <c r="D55"/>
      <c r="H55"/>
      <c r="I55"/>
      <c r="J55"/>
      <c r="K55"/>
      <c r="L55"/>
      <c r="M55" s="10"/>
      <c r="N55"/>
      <c r="O55"/>
      <c r="P55"/>
      <c r="Q55"/>
    </row>
    <row r="56" spans="1:24" ht="15.75" thickBot="1" x14ac:dyDescent="0.3">
      <c r="B56" s="3" t="s">
        <v>134</v>
      </c>
      <c r="C56"/>
      <c r="D56"/>
      <c r="F56" s="10"/>
      <c r="H56"/>
      <c r="I56"/>
      <c r="J56"/>
      <c r="K56"/>
      <c r="L56"/>
      <c r="M56" s="10"/>
      <c r="N56"/>
      <c r="O56"/>
      <c r="P56"/>
      <c r="Q56"/>
      <c r="V56" s="155"/>
      <c r="W56" s="156"/>
    </row>
  </sheetData>
  <sheetProtection selectLockedCells="1" selectUnlockedCells="1"/>
  <mergeCells count="9">
    <mergeCell ref="B53:C53"/>
    <mergeCell ref="B54:C54"/>
    <mergeCell ref="V56:W56"/>
    <mergeCell ref="A1:B1"/>
    <mergeCell ref="A22:B22"/>
    <mergeCell ref="A35:B35"/>
    <mergeCell ref="A48:B48"/>
    <mergeCell ref="A49:B49"/>
    <mergeCell ref="B52:C52"/>
  </mergeCells>
  <conditionalFormatting sqref="A2:W21">
    <cfRule type="expression" dxfId="3" priority="3" stopIfTrue="1">
      <formula>MOD(ROW(),2)=1</formula>
    </cfRule>
  </conditionalFormatting>
  <conditionalFormatting sqref="A23:W34">
    <cfRule type="expression" dxfId="2" priority="1" stopIfTrue="1">
      <formula>MOD(ROW(),2)=1</formula>
    </cfRule>
  </conditionalFormatting>
  <conditionalFormatting sqref="A36:W36">
    <cfRule type="expression" dxfId="1" priority="2" stopIfTrue="1">
      <formula>MOD(ROW(),2)=1</formula>
    </cfRule>
  </conditionalFormatting>
  <conditionalFormatting sqref="A38:W47">
    <cfRule type="expression" dxfId="0" priority="4" stopIfTrue="1">
      <formula>MOD(ROW(),2)=1</formula>
    </cfRule>
  </conditionalFormatting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>
    <pageSetUpPr fitToPage="1"/>
  </sheetPr>
  <dimension ref="A1:N97"/>
  <sheetViews>
    <sheetView zoomScale="85" zoomScaleNormal="85" workbookViewId="0">
      <selection activeCell="G9" sqref="G9"/>
    </sheetView>
  </sheetViews>
  <sheetFormatPr defaultRowHeight="15" x14ac:dyDescent="0.25"/>
  <cols>
    <col min="1" max="1" width="73.5703125" bestFit="1" customWidth="1"/>
    <col min="2" max="2" width="10.5703125" customWidth="1"/>
    <col min="3" max="7" width="12.7109375" customWidth="1"/>
    <col min="8" max="8" width="17.28515625" customWidth="1"/>
    <col min="10" max="10" width="10.85546875" bestFit="1" customWidth="1"/>
    <col min="13" max="14" width="10.28515625" bestFit="1" customWidth="1"/>
  </cols>
  <sheetData>
    <row r="1" spans="1:14" ht="15.75" x14ac:dyDescent="0.25">
      <c r="A1" s="163" t="s">
        <v>135</v>
      </c>
      <c r="B1" s="163"/>
      <c r="C1" s="163"/>
      <c r="D1" s="163"/>
      <c r="E1" s="163"/>
      <c r="F1" s="163"/>
      <c r="G1" s="163"/>
      <c r="H1" s="163"/>
    </row>
    <row r="2" spans="1:14" ht="15.75" x14ac:dyDescent="0.25">
      <c r="A2" s="163" t="s">
        <v>136</v>
      </c>
      <c r="B2" s="163"/>
      <c r="C2" s="163"/>
      <c r="D2" s="163"/>
      <c r="E2" s="163"/>
      <c r="F2" s="163"/>
      <c r="G2" s="163"/>
      <c r="H2" s="163"/>
    </row>
    <row r="3" spans="1:14" ht="15.75" x14ac:dyDescent="0.25">
      <c r="A3" s="15"/>
      <c r="B3" s="16"/>
      <c r="C3" s="17"/>
      <c r="D3" s="17"/>
      <c r="E3" s="17"/>
      <c r="F3" s="17"/>
      <c r="G3" s="17"/>
      <c r="H3" s="18"/>
    </row>
    <row r="4" spans="1:14" x14ac:dyDescent="0.25">
      <c r="A4" s="19" t="s">
        <v>137</v>
      </c>
      <c r="B4" s="20"/>
      <c r="C4" s="21"/>
      <c r="D4" s="21"/>
      <c r="E4" s="19"/>
      <c r="F4" s="22" t="s">
        <v>184</v>
      </c>
      <c r="G4" s="59"/>
      <c r="H4" s="59"/>
      <c r="J4" s="58"/>
      <c r="M4" s="59"/>
      <c r="N4" s="59"/>
    </row>
    <row r="5" spans="1:14" x14ac:dyDescent="0.25">
      <c r="A5" s="19" t="s">
        <v>138</v>
      </c>
      <c r="B5" s="20"/>
      <c r="C5" s="24"/>
      <c r="D5" s="21"/>
      <c r="E5" s="19"/>
      <c r="F5" s="22" t="s">
        <v>183</v>
      </c>
      <c r="G5" s="60"/>
      <c r="H5" s="23"/>
    </row>
    <row r="6" spans="1:14" ht="15.75" thickBot="1" x14ac:dyDescent="0.3">
      <c r="A6" s="19"/>
      <c r="B6" s="20"/>
      <c r="C6" s="24"/>
      <c r="D6" s="21"/>
      <c r="E6" s="19"/>
      <c r="F6" s="22"/>
      <c r="G6" s="22"/>
      <c r="H6" s="23"/>
    </row>
    <row r="7" spans="1:14" x14ac:dyDescent="0.25">
      <c r="A7" s="164" t="s">
        <v>139</v>
      </c>
      <c r="B7" s="165" t="s">
        <v>140</v>
      </c>
      <c r="C7" s="166" t="s">
        <v>141</v>
      </c>
      <c r="D7" s="166"/>
      <c r="E7" s="166"/>
      <c r="F7" s="166"/>
      <c r="G7" s="166"/>
      <c r="H7" s="167" t="s">
        <v>142</v>
      </c>
    </row>
    <row r="8" spans="1:14" ht="15.75" thickBot="1" x14ac:dyDescent="0.3">
      <c r="A8" s="164"/>
      <c r="B8" s="165"/>
      <c r="C8" s="25" t="s">
        <v>143</v>
      </c>
      <c r="D8" s="25" t="s">
        <v>4</v>
      </c>
      <c r="E8" s="25" t="s">
        <v>5</v>
      </c>
      <c r="F8" s="25" t="s">
        <v>144</v>
      </c>
      <c r="G8" s="25" t="s">
        <v>130</v>
      </c>
      <c r="H8" s="167"/>
    </row>
    <row r="9" spans="1:14" x14ac:dyDescent="0.25">
      <c r="A9" s="26" t="s">
        <v>215</v>
      </c>
      <c r="B9" s="57">
        <v>0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122">
        <v>0</v>
      </c>
    </row>
    <row r="10" spans="1:14" x14ac:dyDescent="0.25">
      <c r="A10" s="27" t="s">
        <v>216</v>
      </c>
      <c r="B10" s="30"/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123">
        <v>0</v>
      </c>
    </row>
    <row r="11" spans="1:14" x14ac:dyDescent="0.25">
      <c r="A11" s="26" t="s">
        <v>217</v>
      </c>
      <c r="B11" s="57">
        <v>0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122">
        <v>0</v>
      </c>
    </row>
    <row r="12" spans="1:14" x14ac:dyDescent="0.25">
      <c r="A12" s="27" t="s">
        <v>216</v>
      </c>
      <c r="B12" s="30"/>
      <c r="C12" s="28">
        <v>0</v>
      </c>
      <c r="D12" s="28">
        <v>0</v>
      </c>
      <c r="E12" s="28">
        <v>0</v>
      </c>
      <c r="F12" s="28">
        <v>0</v>
      </c>
      <c r="G12" s="28">
        <v>0</v>
      </c>
      <c r="H12" s="123">
        <v>0</v>
      </c>
    </row>
    <row r="13" spans="1:14" x14ac:dyDescent="0.25">
      <c r="A13" s="26" t="s">
        <v>218</v>
      </c>
      <c r="B13" s="57">
        <v>0</v>
      </c>
      <c r="C13" s="29">
        <v>0</v>
      </c>
      <c r="D13" s="29">
        <v>0</v>
      </c>
      <c r="E13" s="29">
        <v>0</v>
      </c>
      <c r="F13" s="29">
        <v>0</v>
      </c>
      <c r="G13" s="29">
        <v>0</v>
      </c>
      <c r="H13" s="122">
        <v>0</v>
      </c>
    </row>
    <row r="14" spans="1:14" x14ac:dyDescent="0.25">
      <c r="A14" s="27" t="s">
        <v>216</v>
      </c>
      <c r="B14" s="30"/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123">
        <v>0</v>
      </c>
    </row>
    <row r="15" spans="1:14" x14ac:dyDescent="0.25">
      <c r="A15" s="26" t="s">
        <v>219</v>
      </c>
      <c r="B15" s="57">
        <v>0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122">
        <v>0</v>
      </c>
    </row>
    <row r="16" spans="1:14" x14ac:dyDescent="0.25">
      <c r="A16" s="27" t="s">
        <v>216</v>
      </c>
      <c r="B16" s="30"/>
      <c r="C16" s="28">
        <v>0</v>
      </c>
      <c r="D16" s="28">
        <v>0</v>
      </c>
      <c r="E16" s="28">
        <v>0</v>
      </c>
      <c r="F16" s="28">
        <v>0</v>
      </c>
      <c r="G16" s="28">
        <v>0</v>
      </c>
      <c r="H16" s="123">
        <v>0</v>
      </c>
    </row>
    <row r="17" spans="1:8" x14ac:dyDescent="0.25">
      <c r="A17" s="26" t="s">
        <v>220</v>
      </c>
      <c r="B17" s="57">
        <v>0</v>
      </c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122">
        <v>0</v>
      </c>
    </row>
    <row r="18" spans="1:8" x14ac:dyDescent="0.25">
      <c r="A18" s="27" t="s">
        <v>216</v>
      </c>
      <c r="B18" s="30"/>
      <c r="C18" s="28">
        <v>0</v>
      </c>
      <c r="D18" s="28">
        <v>0</v>
      </c>
      <c r="E18" s="28">
        <v>0</v>
      </c>
      <c r="F18" s="28">
        <v>0</v>
      </c>
      <c r="G18" s="28">
        <v>0</v>
      </c>
      <c r="H18" s="123">
        <v>0</v>
      </c>
    </row>
    <row r="19" spans="1:8" x14ac:dyDescent="0.25">
      <c r="A19" s="26" t="s">
        <v>221</v>
      </c>
      <c r="B19" s="57">
        <v>0</v>
      </c>
      <c r="C19" s="29">
        <v>0</v>
      </c>
      <c r="D19" s="29">
        <v>0</v>
      </c>
      <c r="E19" s="29">
        <v>0</v>
      </c>
      <c r="F19" s="29">
        <v>0</v>
      </c>
      <c r="G19" s="29">
        <v>0</v>
      </c>
      <c r="H19" s="122">
        <v>0</v>
      </c>
    </row>
    <row r="20" spans="1:8" x14ac:dyDescent="0.25">
      <c r="A20" s="27" t="s">
        <v>216</v>
      </c>
      <c r="B20" s="30"/>
      <c r="C20" s="28">
        <v>0</v>
      </c>
      <c r="D20" s="28">
        <v>0</v>
      </c>
      <c r="E20" s="28">
        <v>0</v>
      </c>
      <c r="F20" s="28">
        <v>0</v>
      </c>
      <c r="G20" s="28">
        <v>0</v>
      </c>
      <c r="H20" s="123">
        <v>0</v>
      </c>
    </row>
    <row r="21" spans="1:8" x14ac:dyDescent="0.25">
      <c r="A21" s="26" t="s">
        <v>222</v>
      </c>
      <c r="B21" s="57">
        <v>0</v>
      </c>
      <c r="C21" s="29">
        <v>0</v>
      </c>
      <c r="D21" s="29">
        <v>0</v>
      </c>
      <c r="E21" s="29">
        <v>0</v>
      </c>
      <c r="F21" s="29">
        <v>0</v>
      </c>
      <c r="G21" s="29">
        <v>0</v>
      </c>
      <c r="H21" s="122">
        <v>0</v>
      </c>
    </row>
    <row r="22" spans="1:8" x14ac:dyDescent="0.25">
      <c r="A22" s="27" t="s">
        <v>216</v>
      </c>
      <c r="B22" s="30"/>
      <c r="C22" s="28">
        <v>0</v>
      </c>
      <c r="D22" s="28">
        <v>0</v>
      </c>
      <c r="E22" s="28">
        <v>0</v>
      </c>
      <c r="F22" s="28">
        <v>0</v>
      </c>
      <c r="G22" s="28">
        <v>0</v>
      </c>
      <c r="H22" s="123">
        <v>0</v>
      </c>
    </row>
    <row r="23" spans="1:8" x14ac:dyDescent="0.25">
      <c r="A23" s="26" t="s">
        <v>223</v>
      </c>
      <c r="B23" s="57">
        <v>0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122">
        <v>0</v>
      </c>
    </row>
    <row r="24" spans="1:8" x14ac:dyDescent="0.25">
      <c r="A24" s="27" t="s">
        <v>216</v>
      </c>
      <c r="B24" s="30"/>
      <c r="C24" s="28">
        <v>0</v>
      </c>
      <c r="D24" s="28">
        <v>0</v>
      </c>
      <c r="E24" s="28">
        <v>0</v>
      </c>
      <c r="F24" s="28">
        <v>0</v>
      </c>
      <c r="G24" s="28">
        <v>0</v>
      </c>
      <c r="H24" s="123">
        <v>0</v>
      </c>
    </row>
    <row r="25" spans="1:8" x14ac:dyDescent="0.25">
      <c r="A25" s="26" t="s">
        <v>224</v>
      </c>
      <c r="B25" s="57">
        <v>0</v>
      </c>
      <c r="C25" s="29">
        <v>0</v>
      </c>
      <c r="D25" s="29">
        <v>0</v>
      </c>
      <c r="E25" s="29">
        <v>0</v>
      </c>
      <c r="F25" s="29">
        <v>0</v>
      </c>
      <c r="G25" s="29">
        <v>0</v>
      </c>
      <c r="H25" s="122">
        <v>0</v>
      </c>
    </row>
    <row r="26" spans="1:8" x14ac:dyDescent="0.25">
      <c r="A26" s="27" t="s">
        <v>216</v>
      </c>
      <c r="B26" s="30"/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123">
        <v>0</v>
      </c>
    </row>
    <row r="27" spans="1:8" x14ac:dyDescent="0.25">
      <c r="A27" s="26" t="s">
        <v>225</v>
      </c>
      <c r="B27" s="57">
        <v>0</v>
      </c>
      <c r="C27" s="29">
        <v>0</v>
      </c>
      <c r="D27" s="29">
        <v>0</v>
      </c>
      <c r="E27" s="29">
        <v>0</v>
      </c>
      <c r="F27" s="29">
        <v>0</v>
      </c>
      <c r="G27" s="29">
        <v>0</v>
      </c>
      <c r="H27" s="122">
        <v>0</v>
      </c>
    </row>
    <row r="28" spans="1:8" x14ac:dyDescent="0.25">
      <c r="A28" s="27" t="s">
        <v>216</v>
      </c>
      <c r="B28" s="30"/>
      <c r="C28" s="28">
        <v>0</v>
      </c>
      <c r="D28" s="28">
        <v>0</v>
      </c>
      <c r="E28" s="28">
        <v>0</v>
      </c>
      <c r="F28" s="28">
        <v>0</v>
      </c>
      <c r="G28" s="28">
        <v>0</v>
      </c>
      <c r="H28" s="123">
        <v>0</v>
      </c>
    </row>
    <row r="29" spans="1:8" x14ac:dyDescent="0.25">
      <c r="A29" s="26" t="s">
        <v>226</v>
      </c>
      <c r="B29" s="57">
        <v>0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122">
        <v>0</v>
      </c>
    </row>
    <row r="30" spans="1:8" x14ac:dyDescent="0.25">
      <c r="A30" s="27" t="s">
        <v>216</v>
      </c>
      <c r="B30" s="30"/>
      <c r="C30" s="28">
        <v>0</v>
      </c>
      <c r="D30" s="28">
        <v>0</v>
      </c>
      <c r="E30" s="28">
        <v>0</v>
      </c>
      <c r="F30" s="28">
        <v>0</v>
      </c>
      <c r="G30" s="28">
        <v>0</v>
      </c>
      <c r="H30" s="123">
        <v>0</v>
      </c>
    </row>
    <row r="31" spans="1:8" x14ac:dyDescent="0.25">
      <c r="A31" s="26" t="s">
        <v>227</v>
      </c>
      <c r="B31" s="57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122">
        <v>0</v>
      </c>
    </row>
    <row r="32" spans="1:8" x14ac:dyDescent="0.25">
      <c r="A32" s="27" t="s">
        <v>216</v>
      </c>
      <c r="B32" s="30"/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123">
        <v>0</v>
      </c>
    </row>
    <row r="33" spans="1:8" x14ac:dyDescent="0.25">
      <c r="A33" s="26" t="s">
        <v>228</v>
      </c>
      <c r="B33" s="57">
        <v>0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122">
        <v>0</v>
      </c>
    </row>
    <row r="34" spans="1:8" x14ac:dyDescent="0.25">
      <c r="A34" s="27" t="s">
        <v>216</v>
      </c>
      <c r="B34" s="30"/>
      <c r="C34" s="28">
        <v>0</v>
      </c>
      <c r="D34" s="28">
        <v>0</v>
      </c>
      <c r="E34" s="28">
        <v>0</v>
      </c>
      <c r="F34" s="28">
        <v>0</v>
      </c>
      <c r="G34" s="28">
        <v>0</v>
      </c>
      <c r="H34" s="123">
        <v>0</v>
      </c>
    </row>
    <row r="35" spans="1:8" x14ac:dyDescent="0.25">
      <c r="A35" s="26" t="s">
        <v>229</v>
      </c>
      <c r="B35" s="57">
        <v>0</v>
      </c>
      <c r="C35" s="29">
        <v>0</v>
      </c>
      <c r="D35" s="29">
        <v>0</v>
      </c>
      <c r="E35" s="29">
        <v>0</v>
      </c>
      <c r="F35" s="29">
        <v>0</v>
      </c>
      <c r="G35" s="29">
        <v>0</v>
      </c>
      <c r="H35" s="122">
        <v>0</v>
      </c>
    </row>
    <row r="36" spans="1:8" x14ac:dyDescent="0.25">
      <c r="A36" s="27" t="s">
        <v>216</v>
      </c>
      <c r="B36" s="30"/>
      <c r="C36" s="28">
        <v>0</v>
      </c>
      <c r="D36" s="28">
        <v>0</v>
      </c>
      <c r="E36" s="28">
        <v>0</v>
      </c>
      <c r="F36" s="28">
        <v>0</v>
      </c>
      <c r="G36" s="28">
        <v>0</v>
      </c>
      <c r="H36" s="123">
        <v>0</v>
      </c>
    </row>
    <row r="37" spans="1:8" x14ac:dyDescent="0.25">
      <c r="A37" s="26" t="s">
        <v>230</v>
      </c>
      <c r="B37" s="57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122">
        <v>0</v>
      </c>
    </row>
    <row r="38" spans="1:8" x14ac:dyDescent="0.25">
      <c r="A38" s="27" t="s">
        <v>216</v>
      </c>
      <c r="B38" s="30"/>
      <c r="C38" s="28">
        <v>0</v>
      </c>
      <c r="D38" s="28">
        <v>0</v>
      </c>
      <c r="E38" s="28">
        <v>0</v>
      </c>
      <c r="F38" s="28">
        <v>0</v>
      </c>
      <c r="G38" s="28">
        <v>0</v>
      </c>
      <c r="H38" s="123">
        <v>0</v>
      </c>
    </row>
    <row r="39" spans="1:8" x14ac:dyDescent="0.25">
      <c r="A39" s="26" t="s">
        <v>231</v>
      </c>
      <c r="B39" s="57">
        <v>0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122">
        <v>0</v>
      </c>
    </row>
    <row r="40" spans="1:8" x14ac:dyDescent="0.25">
      <c r="A40" s="27" t="s">
        <v>216</v>
      </c>
      <c r="B40" s="30"/>
      <c r="C40" s="28">
        <v>0</v>
      </c>
      <c r="D40" s="28">
        <v>0</v>
      </c>
      <c r="E40" s="28">
        <v>0</v>
      </c>
      <c r="F40" s="28">
        <v>0</v>
      </c>
      <c r="G40" s="28">
        <v>0</v>
      </c>
      <c r="H40" s="123">
        <v>0</v>
      </c>
    </row>
    <row r="41" spans="1:8" x14ac:dyDescent="0.25">
      <c r="A41" s="26" t="s">
        <v>232</v>
      </c>
      <c r="B41" s="57">
        <v>0</v>
      </c>
      <c r="C41" s="29">
        <v>0</v>
      </c>
      <c r="D41" s="29">
        <v>0</v>
      </c>
      <c r="E41" s="29">
        <v>0</v>
      </c>
      <c r="F41" s="29">
        <v>0</v>
      </c>
      <c r="G41" s="29">
        <v>0</v>
      </c>
      <c r="H41" s="122">
        <v>0</v>
      </c>
    </row>
    <row r="42" spans="1:8" x14ac:dyDescent="0.25">
      <c r="A42" s="27" t="s">
        <v>216</v>
      </c>
      <c r="B42" s="30"/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123">
        <v>0</v>
      </c>
    </row>
    <row r="43" spans="1:8" x14ac:dyDescent="0.25">
      <c r="A43" s="26" t="s">
        <v>233</v>
      </c>
      <c r="B43" s="57">
        <v>0</v>
      </c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122">
        <v>0</v>
      </c>
    </row>
    <row r="44" spans="1:8" x14ac:dyDescent="0.25">
      <c r="A44" s="27" t="s">
        <v>216</v>
      </c>
      <c r="B44" s="30"/>
      <c r="C44" s="28">
        <v>0</v>
      </c>
      <c r="D44" s="28">
        <v>0</v>
      </c>
      <c r="E44" s="28">
        <v>0</v>
      </c>
      <c r="F44" s="28">
        <v>0</v>
      </c>
      <c r="G44" s="28">
        <v>0</v>
      </c>
      <c r="H44" s="123">
        <v>0</v>
      </c>
    </row>
    <row r="45" spans="1:8" x14ac:dyDescent="0.25">
      <c r="A45" s="26" t="s">
        <v>234</v>
      </c>
      <c r="B45" s="57">
        <v>0</v>
      </c>
      <c r="C45" s="29">
        <v>0</v>
      </c>
      <c r="D45" s="29">
        <v>0</v>
      </c>
      <c r="E45" s="29">
        <v>0</v>
      </c>
      <c r="F45" s="29">
        <v>0</v>
      </c>
      <c r="G45" s="29">
        <v>0</v>
      </c>
      <c r="H45" s="122">
        <v>0</v>
      </c>
    </row>
    <row r="46" spans="1:8" x14ac:dyDescent="0.25">
      <c r="A46" s="27" t="s">
        <v>216</v>
      </c>
      <c r="B46" s="30"/>
      <c r="C46" s="28">
        <v>0</v>
      </c>
      <c r="D46" s="28">
        <v>0</v>
      </c>
      <c r="E46" s="28">
        <v>0</v>
      </c>
      <c r="F46" s="28">
        <v>0</v>
      </c>
      <c r="G46" s="28">
        <v>0</v>
      </c>
      <c r="H46" s="123">
        <v>0</v>
      </c>
    </row>
    <row r="47" spans="1:8" x14ac:dyDescent="0.25">
      <c r="A47" s="26" t="s">
        <v>235</v>
      </c>
      <c r="B47" s="57">
        <v>0</v>
      </c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122">
        <v>0</v>
      </c>
    </row>
    <row r="48" spans="1:8" x14ac:dyDescent="0.25">
      <c r="A48" s="27" t="s">
        <v>216</v>
      </c>
      <c r="B48" s="30"/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123">
        <v>0</v>
      </c>
    </row>
    <row r="49" spans="1:8" x14ac:dyDescent="0.25">
      <c r="A49" s="26" t="s">
        <v>236</v>
      </c>
      <c r="B49" s="57">
        <v>0</v>
      </c>
      <c r="C49" s="29">
        <v>0</v>
      </c>
      <c r="D49" s="29">
        <v>0</v>
      </c>
      <c r="E49" s="29">
        <v>0</v>
      </c>
      <c r="F49" s="29">
        <v>0</v>
      </c>
      <c r="G49" s="29">
        <v>0</v>
      </c>
      <c r="H49" s="122">
        <v>0</v>
      </c>
    </row>
    <row r="50" spans="1:8" x14ac:dyDescent="0.25">
      <c r="A50" s="27" t="s">
        <v>216</v>
      </c>
      <c r="B50" s="30"/>
      <c r="C50" s="28">
        <v>0</v>
      </c>
      <c r="D50" s="28">
        <v>0</v>
      </c>
      <c r="E50" s="28">
        <v>0</v>
      </c>
      <c r="F50" s="28">
        <v>0</v>
      </c>
      <c r="G50" s="28">
        <v>0</v>
      </c>
      <c r="H50" s="123">
        <v>0</v>
      </c>
    </row>
    <row r="51" spans="1:8" x14ac:dyDescent="0.25">
      <c r="A51" s="26" t="s">
        <v>237</v>
      </c>
      <c r="B51" s="57">
        <v>0</v>
      </c>
      <c r="C51" s="29">
        <v>0</v>
      </c>
      <c r="D51" s="29">
        <v>0</v>
      </c>
      <c r="E51" s="29">
        <v>0</v>
      </c>
      <c r="F51" s="29">
        <v>0</v>
      </c>
      <c r="G51" s="29">
        <v>0</v>
      </c>
      <c r="H51" s="122">
        <v>0</v>
      </c>
    </row>
    <row r="52" spans="1:8" x14ac:dyDescent="0.25">
      <c r="A52" s="27" t="s">
        <v>216</v>
      </c>
      <c r="B52" s="30"/>
      <c r="C52" s="28">
        <v>0</v>
      </c>
      <c r="D52" s="28">
        <v>0</v>
      </c>
      <c r="E52" s="28">
        <v>0</v>
      </c>
      <c r="F52" s="28">
        <v>0</v>
      </c>
      <c r="G52" s="28">
        <v>0</v>
      </c>
      <c r="H52" s="123">
        <v>0</v>
      </c>
    </row>
    <row r="53" spans="1:8" x14ac:dyDescent="0.25">
      <c r="A53" s="26" t="s">
        <v>238</v>
      </c>
      <c r="B53" s="57">
        <v>0</v>
      </c>
      <c r="C53" s="29">
        <v>0</v>
      </c>
      <c r="D53" s="29">
        <v>0</v>
      </c>
      <c r="E53" s="29">
        <v>0</v>
      </c>
      <c r="F53" s="29">
        <v>0</v>
      </c>
      <c r="G53" s="29">
        <v>0</v>
      </c>
      <c r="H53" s="122">
        <v>0</v>
      </c>
    </row>
    <row r="54" spans="1:8" x14ac:dyDescent="0.25">
      <c r="A54" s="27" t="s">
        <v>216</v>
      </c>
      <c r="B54" s="30"/>
      <c r="C54" s="28">
        <v>0</v>
      </c>
      <c r="D54" s="28">
        <v>0</v>
      </c>
      <c r="E54" s="28">
        <v>0</v>
      </c>
      <c r="F54" s="28">
        <v>0</v>
      </c>
      <c r="G54" s="28">
        <v>0</v>
      </c>
      <c r="H54" s="123">
        <v>0</v>
      </c>
    </row>
    <row r="55" spans="1:8" x14ac:dyDescent="0.25">
      <c r="A55" s="26" t="s">
        <v>239</v>
      </c>
      <c r="B55" s="57">
        <v>0</v>
      </c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122">
        <v>0</v>
      </c>
    </row>
    <row r="56" spans="1:8" x14ac:dyDescent="0.25">
      <c r="A56" s="27" t="s">
        <v>216</v>
      </c>
      <c r="B56" s="30"/>
      <c r="C56" s="28">
        <v>0</v>
      </c>
      <c r="D56" s="28">
        <v>0</v>
      </c>
      <c r="E56" s="28">
        <v>0</v>
      </c>
      <c r="F56" s="28">
        <v>0</v>
      </c>
      <c r="G56" s="28">
        <v>0</v>
      </c>
      <c r="H56" s="123">
        <v>0</v>
      </c>
    </row>
    <row r="57" spans="1:8" x14ac:dyDescent="0.25">
      <c r="A57" s="26" t="s">
        <v>240</v>
      </c>
      <c r="B57" s="57">
        <v>0</v>
      </c>
      <c r="C57" s="29">
        <v>0</v>
      </c>
      <c r="D57" s="29">
        <v>0</v>
      </c>
      <c r="E57" s="29">
        <v>0</v>
      </c>
      <c r="F57" s="29">
        <v>0</v>
      </c>
      <c r="G57" s="29">
        <v>0</v>
      </c>
      <c r="H57" s="122">
        <v>0</v>
      </c>
    </row>
    <row r="58" spans="1:8" x14ac:dyDescent="0.25">
      <c r="A58" s="27" t="s">
        <v>216</v>
      </c>
      <c r="B58" s="30"/>
      <c r="C58" s="28">
        <v>0</v>
      </c>
      <c r="D58" s="28">
        <v>0</v>
      </c>
      <c r="E58" s="28">
        <v>0</v>
      </c>
      <c r="F58" s="28">
        <v>0</v>
      </c>
      <c r="G58" s="28">
        <v>0</v>
      </c>
      <c r="H58" s="123">
        <v>0</v>
      </c>
    </row>
    <row r="59" spans="1:8" x14ac:dyDescent="0.25">
      <c r="A59" s="26" t="s">
        <v>241</v>
      </c>
      <c r="B59" s="57">
        <v>0</v>
      </c>
      <c r="C59" s="29">
        <v>0</v>
      </c>
      <c r="D59" s="29">
        <v>0</v>
      </c>
      <c r="E59" s="29">
        <v>0</v>
      </c>
      <c r="F59" s="29">
        <v>0</v>
      </c>
      <c r="G59" s="29">
        <v>0</v>
      </c>
      <c r="H59" s="122">
        <v>0</v>
      </c>
    </row>
    <row r="60" spans="1:8" x14ac:dyDescent="0.25">
      <c r="A60" s="27" t="s">
        <v>216</v>
      </c>
      <c r="B60" s="30"/>
      <c r="C60" s="28">
        <v>0</v>
      </c>
      <c r="D60" s="28">
        <v>0</v>
      </c>
      <c r="E60" s="28">
        <v>0</v>
      </c>
      <c r="F60" s="28">
        <v>0</v>
      </c>
      <c r="G60" s="28">
        <v>0</v>
      </c>
      <c r="H60" s="123">
        <v>0</v>
      </c>
    </row>
    <row r="61" spans="1:8" x14ac:dyDescent="0.25">
      <c r="A61" s="26" t="s">
        <v>242</v>
      </c>
      <c r="B61" s="57">
        <v>0</v>
      </c>
      <c r="C61" s="29">
        <v>0</v>
      </c>
      <c r="D61" s="29">
        <v>0</v>
      </c>
      <c r="E61" s="29">
        <v>0</v>
      </c>
      <c r="F61" s="29">
        <v>0</v>
      </c>
      <c r="G61" s="29">
        <v>0</v>
      </c>
      <c r="H61" s="122">
        <v>0</v>
      </c>
    </row>
    <row r="62" spans="1:8" x14ac:dyDescent="0.25">
      <c r="A62" s="27" t="s">
        <v>216</v>
      </c>
      <c r="B62" s="30"/>
      <c r="C62" s="28">
        <v>0</v>
      </c>
      <c r="D62" s="28">
        <v>0</v>
      </c>
      <c r="E62" s="28">
        <v>0</v>
      </c>
      <c r="F62" s="28">
        <v>0</v>
      </c>
      <c r="G62" s="28">
        <v>0</v>
      </c>
      <c r="H62" s="123">
        <v>0</v>
      </c>
    </row>
    <row r="63" spans="1:8" x14ac:dyDescent="0.25">
      <c r="A63" s="26" t="s">
        <v>243</v>
      </c>
      <c r="B63" s="57">
        <v>0</v>
      </c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122">
        <v>0</v>
      </c>
    </row>
    <row r="64" spans="1:8" x14ac:dyDescent="0.25">
      <c r="A64" s="27" t="s">
        <v>216</v>
      </c>
      <c r="B64" s="30"/>
      <c r="C64" s="28">
        <v>0</v>
      </c>
      <c r="D64" s="28">
        <v>0</v>
      </c>
      <c r="E64" s="28">
        <v>0</v>
      </c>
      <c r="F64" s="28">
        <v>0</v>
      </c>
      <c r="G64" s="28">
        <v>0</v>
      </c>
      <c r="H64" s="123">
        <v>0</v>
      </c>
    </row>
    <row r="65" spans="1:8" x14ac:dyDescent="0.25">
      <c r="A65" s="26" t="s">
        <v>244</v>
      </c>
      <c r="B65" s="57">
        <v>0</v>
      </c>
      <c r="C65" s="29">
        <v>0</v>
      </c>
      <c r="D65" s="29">
        <v>0</v>
      </c>
      <c r="E65" s="29">
        <v>0</v>
      </c>
      <c r="F65" s="29">
        <v>0</v>
      </c>
      <c r="G65" s="29">
        <v>0</v>
      </c>
      <c r="H65" s="122">
        <v>0</v>
      </c>
    </row>
    <row r="66" spans="1:8" x14ac:dyDescent="0.25">
      <c r="A66" s="27" t="s">
        <v>216</v>
      </c>
      <c r="B66" s="30"/>
      <c r="C66" s="28">
        <v>0</v>
      </c>
      <c r="D66" s="28">
        <v>0</v>
      </c>
      <c r="E66" s="28">
        <v>0</v>
      </c>
      <c r="F66" s="28">
        <v>0</v>
      </c>
      <c r="G66" s="28">
        <v>0</v>
      </c>
      <c r="H66" s="123">
        <v>0</v>
      </c>
    </row>
    <row r="67" spans="1:8" x14ac:dyDescent="0.25">
      <c r="A67" s="26" t="s">
        <v>245</v>
      </c>
      <c r="B67" s="57">
        <v>0</v>
      </c>
      <c r="C67" s="29">
        <v>0</v>
      </c>
      <c r="D67" s="29">
        <v>0</v>
      </c>
      <c r="E67" s="29">
        <v>0</v>
      </c>
      <c r="F67" s="29">
        <v>0</v>
      </c>
      <c r="G67" s="29">
        <v>0</v>
      </c>
      <c r="H67" s="122">
        <v>0</v>
      </c>
    </row>
    <row r="68" spans="1:8" x14ac:dyDescent="0.25">
      <c r="A68" s="27" t="s">
        <v>216</v>
      </c>
      <c r="B68" s="30"/>
      <c r="C68" s="28">
        <v>0</v>
      </c>
      <c r="D68" s="28">
        <v>0</v>
      </c>
      <c r="E68" s="28">
        <v>0</v>
      </c>
      <c r="F68" s="28">
        <v>0</v>
      </c>
      <c r="G68" s="28">
        <v>0</v>
      </c>
      <c r="H68" s="123">
        <v>0</v>
      </c>
    </row>
    <row r="69" spans="1:8" x14ac:dyDescent="0.25">
      <c r="A69" s="26" t="s">
        <v>246</v>
      </c>
      <c r="B69" s="57">
        <v>0</v>
      </c>
      <c r="C69" s="29">
        <v>0</v>
      </c>
      <c r="D69" s="29">
        <v>0</v>
      </c>
      <c r="E69" s="29">
        <v>0</v>
      </c>
      <c r="F69" s="29">
        <v>0</v>
      </c>
      <c r="G69" s="29">
        <v>0</v>
      </c>
      <c r="H69" s="122">
        <v>0</v>
      </c>
    </row>
    <row r="70" spans="1:8" x14ac:dyDescent="0.25">
      <c r="A70" s="27" t="s">
        <v>216</v>
      </c>
      <c r="B70" s="30"/>
      <c r="C70" s="28">
        <v>0</v>
      </c>
      <c r="D70" s="28">
        <v>0</v>
      </c>
      <c r="E70" s="28">
        <v>0</v>
      </c>
      <c r="F70" s="28">
        <v>0</v>
      </c>
      <c r="G70" s="28">
        <v>0</v>
      </c>
      <c r="H70" s="123">
        <v>0</v>
      </c>
    </row>
    <row r="71" spans="1:8" x14ac:dyDescent="0.25">
      <c r="A71" s="26" t="s">
        <v>247</v>
      </c>
      <c r="B71" s="57">
        <v>0</v>
      </c>
      <c r="C71" s="29">
        <v>0</v>
      </c>
      <c r="D71" s="29">
        <v>0</v>
      </c>
      <c r="E71" s="29">
        <v>0</v>
      </c>
      <c r="F71" s="29">
        <v>0</v>
      </c>
      <c r="G71" s="29">
        <v>0</v>
      </c>
      <c r="H71" s="122">
        <v>0</v>
      </c>
    </row>
    <row r="72" spans="1:8" x14ac:dyDescent="0.25">
      <c r="A72" s="27" t="s">
        <v>216</v>
      </c>
      <c r="B72" s="30"/>
      <c r="C72" s="28">
        <v>0</v>
      </c>
      <c r="D72" s="28">
        <v>0</v>
      </c>
      <c r="E72" s="28">
        <v>0</v>
      </c>
      <c r="F72" s="28">
        <v>0</v>
      </c>
      <c r="G72" s="28">
        <v>0</v>
      </c>
      <c r="H72" s="123">
        <v>0</v>
      </c>
    </row>
    <row r="73" spans="1:8" x14ac:dyDescent="0.25">
      <c r="A73" s="26" t="s">
        <v>248</v>
      </c>
      <c r="B73" s="57">
        <v>0</v>
      </c>
      <c r="C73" s="29">
        <v>0</v>
      </c>
      <c r="D73" s="29">
        <v>0</v>
      </c>
      <c r="E73" s="29">
        <v>0</v>
      </c>
      <c r="F73" s="29">
        <v>0</v>
      </c>
      <c r="G73" s="29">
        <v>0</v>
      </c>
      <c r="H73" s="122">
        <v>0</v>
      </c>
    </row>
    <row r="74" spans="1:8" x14ac:dyDescent="0.25">
      <c r="A74" s="27" t="s">
        <v>216</v>
      </c>
      <c r="B74" s="30"/>
      <c r="C74" s="28">
        <v>0</v>
      </c>
      <c r="D74" s="28">
        <v>0</v>
      </c>
      <c r="E74" s="28">
        <v>0</v>
      </c>
      <c r="F74" s="28">
        <v>0</v>
      </c>
      <c r="G74" s="28">
        <v>0</v>
      </c>
      <c r="H74" s="123">
        <v>0</v>
      </c>
    </row>
    <row r="75" spans="1:8" x14ac:dyDescent="0.25">
      <c r="A75" s="26" t="s">
        <v>249</v>
      </c>
      <c r="B75" s="57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122">
        <v>0</v>
      </c>
    </row>
    <row r="76" spans="1:8" x14ac:dyDescent="0.25">
      <c r="A76" s="27" t="s">
        <v>216</v>
      </c>
      <c r="B76" s="30"/>
      <c r="C76" s="28">
        <v>0</v>
      </c>
      <c r="D76" s="28">
        <v>0</v>
      </c>
      <c r="E76" s="28">
        <v>0</v>
      </c>
      <c r="F76" s="28">
        <v>0</v>
      </c>
      <c r="G76" s="28">
        <v>0</v>
      </c>
      <c r="H76" s="123">
        <v>0</v>
      </c>
    </row>
    <row r="77" spans="1:8" x14ac:dyDescent="0.25">
      <c r="A77" s="26" t="s">
        <v>250</v>
      </c>
      <c r="B77" s="57">
        <v>0</v>
      </c>
      <c r="C77" s="29">
        <v>0</v>
      </c>
      <c r="D77" s="29">
        <v>0</v>
      </c>
      <c r="E77" s="29">
        <v>0</v>
      </c>
      <c r="F77" s="29">
        <v>0</v>
      </c>
      <c r="G77" s="29">
        <v>0</v>
      </c>
      <c r="H77" s="122">
        <v>0</v>
      </c>
    </row>
    <row r="78" spans="1:8" x14ac:dyDescent="0.25">
      <c r="A78" s="27" t="s">
        <v>216</v>
      </c>
      <c r="B78" s="30"/>
      <c r="C78" s="28">
        <v>0</v>
      </c>
      <c r="D78" s="28">
        <v>0</v>
      </c>
      <c r="E78" s="28">
        <v>0</v>
      </c>
      <c r="F78" s="28">
        <v>0</v>
      </c>
      <c r="G78" s="28">
        <v>0</v>
      </c>
      <c r="H78" s="123">
        <v>0</v>
      </c>
    </row>
    <row r="79" spans="1:8" x14ac:dyDescent="0.25">
      <c r="A79" s="26" t="s">
        <v>251</v>
      </c>
      <c r="B79" s="57">
        <v>0</v>
      </c>
      <c r="C79" s="29">
        <v>0</v>
      </c>
      <c r="D79" s="29">
        <v>0</v>
      </c>
      <c r="E79" s="29">
        <v>0</v>
      </c>
      <c r="F79" s="29">
        <v>0</v>
      </c>
      <c r="G79" s="29">
        <v>0</v>
      </c>
      <c r="H79" s="122">
        <v>0</v>
      </c>
    </row>
    <row r="80" spans="1:8" x14ac:dyDescent="0.25">
      <c r="A80" s="27" t="s">
        <v>216</v>
      </c>
      <c r="B80" s="30"/>
      <c r="C80" s="28">
        <v>0</v>
      </c>
      <c r="D80" s="28">
        <v>0</v>
      </c>
      <c r="E80" s="28">
        <v>0</v>
      </c>
      <c r="F80" s="28">
        <v>0</v>
      </c>
      <c r="G80" s="28">
        <v>0</v>
      </c>
      <c r="H80" s="123">
        <v>0</v>
      </c>
    </row>
    <row r="81" spans="1:8" x14ac:dyDescent="0.25">
      <c r="A81" s="26" t="s">
        <v>252</v>
      </c>
      <c r="B81" s="57">
        <v>0</v>
      </c>
      <c r="C81" s="29">
        <v>0</v>
      </c>
      <c r="D81" s="29">
        <v>0</v>
      </c>
      <c r="E81" s="29">
        <v>0</v>
      </c>
      <c r="F81" s="29">
        <v>0</v>
      </c>
      <c r="G81" s="29">
        <v>0</v>
      </c>
      <c r="H81" s="122">
        <v>0</v>
      </c>
    </row>
    <row r="82" spans="1:8" x14ac:dyDescent="0.25">
      <c r="A82" s="27" t="s">
        <v>216</v>
      </c>
      <c r="B82" s="30"/>
      <c r="C82" s="28">
        <v>0</v>
      </c>
      <c r="D82" s="28">
        <v>0</v>
      </c>
      <c r="E82" s="28">
        <v>0</v>
      </c>
      <c r="F82" s="28">
        <v>0</v>
      </c>
      <c r="G82" s="28">
        <v>0</v>
      </c>
      <c r="H82" s="123">
        <v>0</v>
      </c>
    </row>
    <row r="83" spans="1:8" x14ac:dyDescent="0.25">
      <c r="A83" s="26" t="s">
        <v>253</v>
      </c>
      <c r="B83" s="57">
        <v>0</v>
      </c>
      <c r="C83" s="29">
        <v>0</v>
      </c>
      <c r="D83" s="29">
        <v>0</v>
      </c>
      <c r="E83" s="29">
        <v>0</v>
      </c>
      <c r="F83" s="29">
        <v>0</v>
      </c>
      <c r="G83" s="29">
        <v>0</v>
      </c>
      <c r="H83" s="122">
        <v>0</v>
      </c>
    </row>
    <row r="84" spans="1:8" x14ac:dyDescent="0.25">
      <c r="A84" s="27" t="s">
        <v>216</v>
      </c>
      <c r="B84" s="30"/>
      <c r="C84" s="28">
        <v>0</v>
      </c>
      <c r="D84" s="28">
        <v>0</v>
      </c>
      <c r="E84" s="28">
        <v>0</v>
      </c>
      <c r="F84" s="28">
        <v>0</v>
      </c>
      <c r="G84" s="28">
        <v>0</v>
      </c>
      <c r="H84" s="123">
        <v>0</v>
      </c>
    </row>
    <row r="85" spans="1:8" x14ac:dyDescent="0.25">
      <c r="A85" s="26" t="s">
        <v>254</v>
      </c>
      <c r="B85" s="57">
        <v>0</v>
      </c>
      <c r="C85" s="29">
        <v>0</v>
      </c>
      <c r="D85" s="29">
        <v>0</v>
      </c>
      <c r="E85" s="29">
        <v>0</v>
      </c>
      <c r="F85" s="29">
        <v>0</v>
      </c>
      <c r="G85" s="29">
        <v>0</v>
      </c>
      <c r="H85" s="122">
        <v>0</v>
      </c>
    </row>
    <row r="86" spans="1:8" x14ac:dyDescent="0.25">
      <c r="A86" s="27" t="s">
        <v>216</v>
      </c>
      <c r="B86" s="30"/>
      <c r="C86" s="28">
        <v>0</v>
      </c>
      <c r="D86" s="28">
        <v>0</v>
      </c>
      <c r="E86" s="28">
        <v>0</v>
      </c>
      <c r="F86" s="28">
        <v>0</v>
      </c>
      <c r="G86" s="28">
        <v>0</v>
      </c>
      <c r="H86" s="123">
        <v>0</v>
      </c>
    </row>
    <row r="87" spans="1:8" x14ac:dyDescent="0.25">
      <c r="A87" s="26" t="s">
        <v>255</v>
      </c>
      <c r="B87" s="57">
        <v>0</v>
      </c>
      <c r="C87" s="29">
        <v>0</v>
      </c>
      <c r="D87" s="29">
        <v>0</v>
      </c>
      <c r="E87" s="29">
        <v>0</v>
      </c>
      <c r="F87" s="29">
        <v>0</v>
      </c>
      <c r="G87" s="29">
        <v>0</v>
      </c>
      <c r="H87" s="122">
        <v>0</v>
      </c>
    </row>
    <row r="88" spans="1:8" x14ac:dyDescent="0.25">
      <c r="A88" s="27" t="s">
        <v>216</v>
      </c>
      <c r="B88" s="30"/>
      <c r="C88" s="28">
        <v>0</v>
      </c>
      <c r="D88" s="28">
        <v>0</v>
      </c>
      <c r="E88" s="28">
        <v>0</v>
      </c>
      <c r="F88" s="28">
        <v>0</v>
      </c>
      <c r="G88" s="28">
        <v>0</v>
      </c>
      <c r="H88" s="123">
        <v>0</v>
      </c>
    </row>
    <row r="89" spans="1:8" x14ac:dyDescent="0.25">
      <c r="A89" s="26" t="s">
        <v>256</v>
      </c>
      <c r="B89" s="57">
        <v>0</v>
      </c>
      <c r="C89" s="29">
        <v>0</v>
      </c>
      <c r="D89" s="29">
        <v>0</v>
      </c>
      <c r="E89" s="29">
        <v>0</v>
      </c>
      <c r="F89" s="29">
        <v>0</v>
      </c>
      <c r="G89" s="29">
        <v>0</v>
      </c>
      <c r="H89" s="122">
        <v>0</v>
      </c>
    </row>
    <row r="90" spans="1:8" x14ac:dyDescent="0.25">
      <c r="A90" s="27" t="s">
        <v>216</v>
      </c>
      <c r="B90" s="30"/>
      <c r="C90" s="28">
        <v>0</v>
      </c>
      <c r="D90" s="28">
        <v>0</v>
      </c>
      <c r="E90" s="28">
        <v>0</v>
      </c>
      <c r="F90" s="28">
        <v>0</v>
      </c>
      <c r="G90" s="28">
        <v>0</v>
      </c>
      <c r="H90" s="123">
        <v>0</v>
      </c>
    </row>
    <row r="91" spans="1:8" x14ac:dyDescent="0.25">
      <c r="A91" s="26" t="s">
        <v>257</v>
      </c>
      <c r="B91" s="57">
        <v>0</v>
      </c>
      <c r="C91" s="29">
        <v>0</v>
      </c>
      <c r="D91" s="29">
        <v>0</v>
      </c>
      <c r="E91" s="29">
        <v>0</v>
      </c>
      <c r="F91" s="29">
        <v>0</v>
      </c>
      <c r="G91" s="29">
        <v>0</v>
      </c>
      <c r="H91" s="122">
        <v>0</v>
      </c>
    </row>
    <row r="92" spans="1:8" x14ac:dyDescent="0.25">
      <c r="A92" s="27" t="s">
        <v>216</v>
      </c>
      <c r="B92" s="30"/>
      <c r="C92" s="28">
        <v>0</v>
      </c>
      <c r="D92" s="28">
        <v>0</v>
      </c>
      <c r="E92" s="28">
        <v>0</v>
      </c>
      <c r="F92" s="28">
        <v>0</v>
      </c>
      <c r="G92" s="28">
        <v>0</v>
      </c>
      <c r="H92" s="123">
        <v>0</v>
      </c>
    </row>
    <row r="93" spans="1:8" x14ac:dyDescent="0.25">
      <c r="A93" s="26" t="s">
        <v>258</v>
      </c>
      <c r="B93" s="57">
        <v>0</v>
      </c>
      <c r="C93" s="29">
        <v>0</v>
      </c>
      <c r="D93" s="29">
        <v>0</v>
      </c>
      <c r="E93" s="29">
        <v>0</v>
      </c>
      <c r="F93" s="29">
        <v>0</v>
      </c>
      <c r="G93" s="29">
        <v>0</v>
      </c>
      <c r="H93" s="122">
        <v>0</v>
      </c>
    </row>
    <row r="94" spans="1:8" x14ac:dyDescent="0.25">
      <c r="A94" s="27" t="s">
        <v>216</v>
      </c>
      <c r="B94" s="30"/>
      <c r="C94" s="28">
        <v>0</v>
      </c>
      <c r="D94" s="28">
        <v>0</v>
      </c>
      <c r="E94" s="28">
        <v>0</v>
      </c>
      <c r="F94" s="28">
        <v>0</v>
      </c>
      <c r="G94" s="28">
        <v>0</v>
      </c>
      <c r="H94" s="123">
        <v>0</v>
      </c>
    </row>
    <row r="95" spans="1:8" x14ac:dyDescent="0.25">
      <c r="A95" s="26" t="s">
        <v>259</v>
      </c>
      <c r="B95" s="57">
        <v>0</v>
      </c>
      <c r="C95" s="29">
        <v>0</v>
      </c>
      <c r="D95" s="29">
        <v>0</v>
      </c>
      <c r="E95" s="29">
        <v>0</v>
      </c>
      <c r="F95" s="29">
        <v>0</v>
      </c>
      <c r="G95" s="29">
        <v>0</v>
      </c>
      <c r="H95" s="122">
        <v>0</v>
      </c>
    </row>
    <row r="96" spans="1:8" ht="15.75" thickBot="1" x14ac:dyDescent="0.3">
      <c r="A96" s="27" t="s">
        <v>216</v>
      </c>
      <c r="B96" s="30"/>
      <c r="C96" s="28">
        <v>0</v>
      </c>
      <c r="D96" s="28">
        <v>0</v>
      </c>
      <c r="E96" s="28">
        <v>0</v>
      </c>
      <c r="F96" s="28">
        <v>0</v>
      </c>
      <c r="G96" s="28">
        <v>0</v>
      </c>
      <c r="H96" s="123">
        <v>0</v>
      </c>
    </row>
    <row r="97" spans="1:8" ht="15.75" thickBot="1" x14ac:dyDescent="0.3">
      <c r="A97" s="31" t="s">
        <v>130</v>
      </c>
      <c r="B97" s="32"/>
      <c r="C97" s="33">
        <v>0</v>
      </c>
      <c r="D97" s="33">
        <v>0</v>
      </c>
      <c r="E97" s="33">
        <v>0</v>
      </c>
      <c r="F97" s="33">
        <v>0</v>
      </c>
      <c r="G97" s="33">
        <v>0</v>
      </c>
      <c r="H97" s="61">
        <v>0</v>
      </c>
    </row>
  </sheetData>
  <sheetProtection selectLockedCells="1" selectUnlockedCells="1"/>
  <mergeCells count="6">
    <mergeCell ref="A1:H1"/>
    <mergeCell ref="A2:H2"/>
    <mergeCell ref="A7:A8"/>
    <mergeCell ref="B7:B8"/>
    <mergeCell ref="C7:G7"/>
    <mergeCell ref="H7:H8"/>
  </mergeCells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MATRIZ</vt:lpstr>
      <vt:lpstr>BOD</vt:lpstr>
      <vt:lpstr>SINTETICO</vt:lpstr>
      <vt:lpstr>ATM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Rogerio Piccoli</cp:lastModifiedBy>
  <cp:lastPrinted>2021-10-15T19:29:36Z</cp:lastPrinted>
  <dcterms:created xsi:type="dcterms:W3CDTF">2017-02-14T17:59:56Z</dcterms:created>
  <dcterms:modified xsi:type="dcterms:W3CDTF">2025-07-14T16:42:40Z</dcterms:modified>
</cp:coreProperties>
</file>